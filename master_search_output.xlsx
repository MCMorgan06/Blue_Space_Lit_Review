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0"/>
  <workbookPr/>
  <mc:AlternateContent xmlns:mc="http://schemas.openxmlformats.org/markup-compatibility/2006">
    <mc:Choice Requires="x15">
      <x15ac:absPath xmlns:x15ac="http://schemas.microsoft.com/office/spreadsheetml/2010/11/ac" url="C:\Users\721049\OneDrive - hull.ac.uk\Blue Space Review\"/>
    </mc:Choice>
  </mc:AlternateContent>
  <xr:revisionPtr revIDLastSave="1" documentId="11_F25DC773A252ABDACC10481FE1584AA65ADE58ED" xr6:coauthVersionLast="47" xr6:coauthVersionMax="47" xr10:uidLastSave="{CAF2DB16-86B1-4D21-A2E8-6A0D65661C28}"/>
  <bookViews>
    <workbookView xWindow="0" yWindow="0" windowWidth="22260" windowHeight="126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04" i="1" l="1"/>
  <c r="BF204" i="1"/>
  <c r="BT203" i="1"/>
  <c r="BF203" i="1"/>
  <c r="BT202" i="1"/>
  <c r="BF202" i="1"/>
  <c r="BT201" i="1"/>
  <c r="BF201" i="1"/>
  <c r="BT200" i="1"/>
  <c r="BF200" i="1"/>
  <c r="BT199" i="1"/>
  <c r="BF199" i="1"/>
  <c r="BT198" i="1"/>
  <c r="BF198" i="1"/>
  <c r="BT197" i="1"/>
  <c r="BF197" i="1"/>
  <c r="BT196" i="1"/>
  <c r="BF196" i="1"/>
  <c r="BT195" i="1"/>
  <c r="BF195" i="1"/>
  <c r="BT194" i="1"/>
  <c r="BF194" i="1"/>
  <c r="BT193" i="1"/>
  <c r="BF193" i="1"/>
  <c r="BT192" i="1"/>
  <c r="BF192" i="1"/>
  <c r="BT191" i="1"/>
  <c r="BF191" i="1"/>
  <c r="BT190" i="1"/>
  <c r="BF190" i="1"/>
  <c r="BT189" i="1"/>
  <c r="BF189" i="1"/>
  <c r="BT188" i="1"/>
  <c r="BF188" i="1"/>
  <c r="BT187" i="1"/>
  <c r="BF187" i="1"/>
  <c r="BT186" i="1"/>
  <c r="BF186" i="1"/>
  <c r="BT185" i="1"/>
  <c r="BF185" i="1"/>
  <c r="BT184" i="1"/>
  <c r="BF184" i="1"/>
  <c r="BT183" i="1"/>
  <c r="BF183" i="1"/>
  <c r="BT182" i="1"/>
  <c r="BF182" i="1"/>
  <c r="BT181" i="1"/>
  <c r="BF181" i="1"/>
  <c r="BT180" i="1"/>
  <c r="BF180" i="1"/>
  <c r="BT179" i="1"/>
  <c r="BF179" i="1"/>
  <c r="BT178" i="1"/>
  <c r="BF178" i="1"/>
  <c r="BT177" i="1"/>
  <c r="BF177" i="1"/>
  <c r="BT176" i="1"/>
  <c r="BF176" i="1"/>
  <c r="BT175" i="1"/>
  <c r="BF175" i="1"/>
  <c r="BT174" i="1"/>
  <c r="BF174" i="1"/>
  <c r="BT173" i="1"/>
  <c r="BF173" i="1"/>
  <c r="BT172" i="1"/>
  <c r="BF172" i="1"/>
  <c r="BT171" i="1"/>
  <c r="BF171" i="1"/>
  <c r="BT170" i="1"/>
  <c r="BF170" i="1"/>
  <c r="BT169" i="1"/>
  <c r="BF169" i="1"/>
  <c r="BT168" i="1"/>
  <c r="BF168" i="1"/>
  <c r="BT167" i="1"/>
  <c r="BF167" i="1"/>
  <c r="BT166" i="1"/>
  <c r="BF166" i="1"/>
  <c r="BT165" i="1"/>
  <c r="BF165" i="1"/>
  <c r="BT164" i="1"/>
  <c r="BF164" i="1"/>
  <c r="BT163" i="1"/>
  <c r="BF163" i="1"/>
  <c r="BT162" i="1"/>
  <c r="BF162" i="1"/>
  <c r="BT161" i="1"/>
  <c r="BF161" i="1"/>
  <c r="BT160" i="1"/>
  <c r="BF160" i="1"/>
  <c r="BT159" i="1"/>
  <c r="BF159" i="1"/>
  <c r="BT158" i="1"/>
  <c r="BF158" i="1"/>
  <c r="BT157" i="1"/>
  <c r="BF157" i="1"/>
  <c r="BT156" i="1"/>
  <c r="BF156" i="1"/>
  <c r="BT155" i="1"/>
  <c r="BF155" i="1"/>
  <c r="BT154" i="1"/>
  <c r="BF154" i="1"/>
  <c r="BT153" i="1"/>
  <c r="BF153" i="1"/>
  <c r="BT152" i="1"/>
  <c r="BF152" i="1"/>
  <c r="BT151" i="1"/>
  <c r="BF151" i="1"/>
  <c r="BT150" i="1"/>
  <c r="BF150" i="1"/>
  <c r="BT149" i="1"/>
  <c r="BF149" i="1"/>
  <c r="BT148" i="1"/>
  <c r="BF148" i="1"/>
  <c r="BT147" i="1"/>
  <c r="BF147" i="1"/>
  <c r="BT146" i="1"/>
  <c r="BF146" i="1"/>
  <c r="BT145" i="1"/>
  <c r="BF145" i="1"/>
  <c r="BT144" i="1"/>
  <c r="BF144" i="1"/>
  <c r="BT143" i="1"/>
  <c r="BF143" i="1"/>
  <c r="BT142" i="1"/>
  <c r="BF142" i="1"/>
  <c r="BT141" i="1"/>
  <c r="BF141" i="1"/>
  <c r="BT140" i="1"/>
  <c r="BF140" i="1"/>
  <c r="BT139" i="1"/>
  <c r="BF139" i="1"/>
  <c r="BT138" i="1"/>
  <c r="BF138" i="1"/>
  <c r="BT137" i="1"/>
  <c r="BF137" i="1"/>
  <c r="BT136" i="1"/>
  <c r="BF136" i="1"/>
  <c r="BT135" i="1"/>
  <c r="BF135" i="1"/>
  <c r="BT134" i="1"/>
  <c r="BF134" i="1"/>
  <c r="BT133" i="1"/>
  <c r="BF133" i="1"/>
  <c r="BT132" i="1"/>
  <c r="BF132" i="1"/>
  <c r="BT131" i="1"/>
  <c r="BF131" i="1"/>
  <c r="BT130" i="1"/>
  <c r="BF130" i="1"/>
  <c r="BT129" i="1"/>
  <c r="BF129" i="1"/>
  <c r="BT128" i="1"/>
  <c r="BF128" i="1"/>
  <c r="BT127" i="1"/>
  <c r="BF127" i="1"/>
  <c r="BT126" i="1"/>
  <c r="BF126" i="1"/>
  <c r="BT125" i="1"/>
  <c r="BF125" i="1"/>
  <c r="BT124" i="1"/>
  <c r="BF124" i="1"/>
  <c r="BT123" i="1"/>
  <c r="BF123" i="1"/>
  <c r="BT122" i="1"/>
  <c r="BF122" i="1"/>
  <c r="BT121" i="1"/>
  <c r="BF121" i="1"/>
  <c r="BT120" i="1"/>
  <c r="BF120" i="1"/>
  <c r="BT119" i="1"/>
  <c r="BF119" i="1"/>
  <c r="BT118" i="1"/>
  <c r="BF118" i="1"/>
  <c r="BT117" i="1"/>
  <c r="BF117" i="1"/>
  <c r="BT116" i="1"/>
  <c r="BF116" i="1"/>
  <c r="BT115" i="1"/>
  <c r="BF115" i="1"/>
  <c r="BT114" i="1"/>
  <c r="BF114" i="1"/>
  <c r="BT113" i="1"/>
  <c r="BF113" i="1"/>
  <c r="BT112" i="1"/>
  <c r="BF112" i="1"/>
  <c r="BT111" i="1"/>
  <c r="BF111" i="1"/>
  <c r="BT110" i="1"/>
  <c r="BF110" i="1"/>
  <c r="BT109" i="1"/>
  <c r="BF109" i="1"/>
  <c r="BT108" i="1"/>
  <c r="BF108" i="1"/>
  <c r="BT107" i="1"/>
  <c r="BF107" i="1"/>
  <c r="BT106" i="1"/>
  <c r="BF106" i="1"/>
  <c r="BT105" i="1"/>
  <c r="BF105" i="1"/>
  <c r="BT104" i="1"/>
  <c r="BF104" i="1"/>
  <c r="BT103" i="1"/>
  <c r="BF103" i="1"/>
  <c r="BT102" i="1"/>
  <c r="BF102" i="1"/>
  <c r="BT101" i="1"/>
  <c r="BF101" i="1"/>
  <c r="BT100" i="1"/>
  <c r="BF100" i="1"/>
  <c r="BT99" i="1"/>
  <c r="BF99" i="1"/>
  <c r="BT98" i="1"/>
  <c r="BF98" i="1"/>
  <c r="BT97" i="1"/>
  <c r="BF97" i="1"/>
  <c r="BT96" i="1"/>
  <c r="BF96" i="1"/>
  <c r="BT95" i="1"/>
  <c r="BF95" i="1"/>
  <c r="BT94" i="1"/>
  <c r="BF94" i="1"/>
  <c r="BT93" i="1"/>
  <c r="BF93" i="1"/>
  <c r="BT92" i="1"/>
  <c r="BF92" i="1"/>
  <c r="BT91" i="1"/>
  <c r="BF91" i="1"/>
  <c r="BT90" i="1"/>
  <c r="BF90" i="1"/>
  <c r="BT89" i="1"/>
  <c r="BF89" i="1"/>
  <c r="BT88" i="1"/>
  <c r="BF88" i="1"/>
  <c r="BT87" i="1"/>
  <c r="BF87" i="1"/>
  <c r="BT86" i="1"/>
  <c r="BF86" i="1"/>
  <c r="BT85" i="1"/>
  <c r="BF85" i="1"/>
  <c r="BT84" i="1"/>
  <c r="BF84" i="1"/>
  <c r="BT83" i="1"/>
  <c r="BF83" i="1"/>
  <c r="BT82" i="1"/>
  <c r="BF82" i="1"/>
  <c r="BT81" i="1"/>
  <c r="BF81" i="1"/>
  <c r="BT80" i="1"/>
  <c r="BF80" i="1"/>
  <c r="BT79" i="1"/>
  <c r="BF79" i="1"/>
  <c r="BT78" i="1"/>
  <c r="BF78" i="1"/>
  <c r="BT77" i="1"/>
  <c r="BF77" i="1"/>
  <c r="BT76" i="1"/>
  <c r="BF76" i="1"/>
  <c r="BT75" i="1"/>
  <c r="BF75" i="1"/>
  <c r="BT74" i="1"/>
  <c r="BF74" i="1"/>
  <c r="BT73" i="1"/>
  <c r="BF73" i="1"/>
  <c r="BT72" i="1"/>
  <c r="BF72" i="1"/>
  <c r="BT71" i="1"/>
  <c r="BF71" i="1"/>
  <c r="BT70" i="1"/>
  <c r="BF70" i="1"/>
  <c r="BT69" i="1"/>
  <c r="BF69" i="1"/>
  <c r="BT68" i="1"/>
  <c r="BF68" i="1"/>
  <c r="BT67" i="1"/>
  <c r="BF67" i="1"/>
  <c r="BT66" i="1"/>
  <c r="BF66" i="1"/>
  <c r="BT65" i="1"/>
  <c r="BF65" i="1"/>
  <c r="BT64" i="1"/>
  <c r="BF64" i="1"/>
  <c r="BT63" i="1"/>
  <c r="BF63" i="1"/>
  <c r="BT62" i="1"/>
  <c r="BF62" i="1"/>
  <c r="BT61" i="1"/>
  <c r="BF61" i="1"/>
  <c r="BT60" i="1"/>
  <c r="BF60" i="1"/>
  <c r="BT59" i="1"/>
  <c r="BF59" i="1"/>
  <c r="BT58" i="1"/>
  <c r="BF58" i="1"/>
  <c r="BT57" i="1"/>
  <c r="BF57" i="1"/>
  <c r="BT56" i="1"/>
  <c r="BF56" i="1"/>
  <c r="BT55" i="1"/>
  <c r="BF55" i="1"/>
  <c r="BT54" i="1"/>
  <c r="BF54" i="1"/>
  <c r="BT53" i="1"/>
  <c r="BF53" i="1"/>
  <c r="BT52" i="1"/>
  <c r="BF52" i="1"/>
  <c r="BT51" i="1"/>
  <c r="BF51" i="1"/>
  <c r="BT50" i="1"/>
  <c r="BF50" i="1"/>
  <c r="BT49" i="1"/>
  <c r="BF49" i="1"/>
  <c r="BT48" i="1"/>
  <c r="BF48" i="1"/>
  <c r="BT47" i="1"/>
  <c r="BF47" i="1"/>
  <c r="BT46" i="1"/>
  <c r="BF46" i="1"/>
  <c r="BT45" i="1"/>
  <c r="BF45" i="1"/>
  <c r="BT44" i="1"/>
  <c r="BF44" i="1"/>
  <c r="BT43" i="1"/>
  <c r="BF43" i="1"/>
  <c r="BT42" i="1"/>
  <c r="BF42" i="1"/>
  <c r="BT41" i="1"/>
  <c r="BF41" i="1"/>
  <c r="BT40" i="1"/>
  <c r="BF40" i="1"/>
  <c r="BT39" i="1"/>
  <c r="BF39" i="1"/>
  <c r="BT38" i="1"/>
  <c r="BF38" i="1"/>
  <c r="BT37" i="1"/>
  <c r="BF37" i="1"/>
  <c r="BT36" i="1"/>
  <c r="BF36" i="1"/>
  <c r="BT35" i="1"/>
  <c r="BF35" i="1"/>
  <c r="BT34" i="1"/>
  <c r="BF34" i="1"/>
  <c r="BT33" i="1"/>
  <c r="BF33" i="1"/>
  <c r="BT32" i="1"/>
  <c r="BF32" i="1"/>
  <c r="BT31" i="1"/>
  <c r="BF31" i="1"/>
  <c r="BT30" i="1"/>
  <c r="BF30" i="1"/>
  <c r="BT29" i="1"/>
  <c r="BF29" i="1"/>
  <c r="BT28" i="1"/>
  <c r="BF28" i="1"/>
  <c r="BT27" i="1"/>
  <c r="BF27" i="1"/>
  <c r="BT26" i="1"/>
  <c r="BF26" i="1"/>
  <c r="BT25" i="1"/>
  <c r="BF25" i="1"/>
  <c r="BT24" i="1"/>
  <c r="BF24" i="1"/>
  <c r="BT23" i="1"/>
  <c r="BF23" i="1"/>
  <c r="BT22" i="1"/>
  <c r="BF22" i="1"/>
  <c r="BT21" i="1"/>
  <c r="BF21" i="1"/>
  <c r="BT20" i="1"/>
  <c r="BF20" i="1"/>
  <c r="BT19" i="1"/>
  <c r="BF19" i="1"/>
  <c r="BT18" i="1"/>
  <c r="BF18" i="1"/>
  <c r="BT17" i="1"/>
  <c r="BF17" i="1"/>
  <c r="BT16" i="1"/>
  <c r="BF16" i="1"/>
  <c r="BT15" i="1"/>
  <c r="BF15" i="1"/>
  <c r="BT14" i="1"/>
  <c r="BF14" i="1"/>
  <c r="BT13" i="1"/>
  <c r="BF13" i="1"/>
  <c r="BT12" i="1"/>
  <c r="BF12" i="1"/>
  <c r="BT11" i="1"/>
  <c r="BF11" i="1"/>
  <c r="BT10" i="1"/>
  <c r="BF10" i="1"/>
  <c r="BT9" i="1"/>
  <c r="BF9" i="1"/>
  <c r="BT8" i="1"/>
  <c r="BF8" i="1"/>
  <c r="BT7" i="1"/>
  <c r="BF7" i="1"/>
  <c r="BT6" i="1"/>
  <c r="BF6" i="1"/>
  <c r="BT5" i="1"/>
  <c r="BF5" i="1"/>
  <c r="BT4" i="1"/>
  <c r="BF4" i="1"/>
  <c r="BT3" i="1"/>
  <c r="BF3" i="1"/>
  <c r="BT2" i="1"/>
  <c r="BF2" i="1"/>
</calcChain>
</file>

<file path=xl/sharedStrings.xml><?xml version="1.0" encoding="utf-8"?>
<sst xmlns="http://schemas.openxmlformats.org/spreadsheetml/2006/main" count="13889" uniqueCount="4255">
  <si>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</si>
  <si>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</si>
  <si>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</si>
  <si>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</si>
  <si>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</si>
  <si>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</si>
  <si>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</si>
  <si>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</si>
  <si>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</si>
  <si>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</si>
  <si>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</si>
  <si>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</si>
  <si>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</si>
  <si>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</si>
  <si>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</si>
  <si>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</si>
  <si>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</si>
  <si>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</si>
  <si>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</si>
  <si>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</si>
  <si>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</si>
  <si>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</si>
  <si>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</si>
  <si>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</si>
  <si>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</si>
  <si>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</si>
  <si>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</si>
  <si>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</si>
  <si>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</si>
  <si>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</si>
  <si>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</si>
  <si>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</si>
  <si>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</si>
  <si>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</si>
  <si>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</si>
  <si>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</si>
  <si>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</si>
  <si>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</si>
  <si>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</si>
  <si>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</si>
  <si>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</si>
  <si>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</si>
  <si>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</si>
  <si>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</si>
  <si>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</si>
  <si>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</si>
  <si>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</si>
  <si>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</si>
  <si>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</si>
  <si>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</si>
  <si>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</si>
  <si>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</si>
  <si>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</si>
  <si>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</si>
  <si>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</si>
  <si>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</si>
  <si>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</si>
  <si>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</si>
  <si>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</si>
  <si>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</si>
  <si>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</si>
  <si>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</si>
  <si>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</si>
  <si>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</si>
  <si>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</si>
  <si>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</si>
  <si>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</si>
  <si>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</si>
  <si>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</si>
  <si>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</si>
  <si>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</si>
  <si>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</si>
  <si>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Primary or Secondary</t>
  </si>
  <si>
    <t>Relationship to health measures</t>
  </si>
  <si>
    <t>Habitat sampling/GIS/Spatial data</t>
  </si>
  <si>
    <t>Resolution (m)</t>
  </si>
  <si>
    <t>Health Assessment Method</t>
  </si>
  <si>
    <t>Study Design 1</t>
  </si>
  <si>
    <t>Study Design 2</t>
  </si>
  <si>
    <t>Study Design 3</t>
  </si>
  <si>
    <t>Qualitative/Quantitative</t>
  </si>
  <si>
    <t>Country</t>
  </si>
  <si>
    <t>Comments</t>
  </si>
  <si>
    <t>J</t>
  </si>
  <si>
    <t>Elliott, LR; Pasanen, T; White, MP; Wheeler, BW; Grellier, J; Cirach, M; Bratman, GN; van den Bosch, M; Roiko, A; Ojala, A; Nieuwenhuijsen, M; Fleming, LE</t>
  </si>
  <si>
    <t/>
  </si>
  <si>
    <t>Elliott, Lewis R.; Pasanen, Tytti; White, Mathew P.; Wheeler, Benedict W.; Grellier, James; Cirach, Marta; Bratman, Gregory N.; van den Bosch, Matilda; Roiko, Anne; Ojala, Ann; Nieuwenhuijsen, Mark; Fleming, Lora E.</t>
  </si>
  <si>
    <t>Nature contact and general health: Testing multiple serial mediation pathways with data from adults in 18 countries</t>
  </si>
  <si>
    <t>ENVIRONMENT INTERNATIONAL</t>
  </si>
  <si>
    <t>English</t>
  </si>
  <si>
    <t>Article</t>
  </si>
  <si>
    <t>PHYSICAL-ACTIVITY; PUBLIC-HEALTH; MENTAL-HEALTH; RECREATIONAL VISITS; GREEN SPACE; BLUE SPACE; ENVIRONMENTS; EXPOSURE; INEQUALITIES; RELIABILITY</t>
  </si>
  <si>
    <t>The role of neighbourhood nature in promoting good health is increasingly recognised in policy and practice, but consistent evidence for the underlying mechanisms is lacking. Heterogeneity in exposure methods, outcome measures, and population characteristics, little exploration of recreational use or the role of different types of green or blue space, and multiple separate mediation models in previous studies have limited our ability to synthesise findings and draw clear conclusions. We examined multiple pathways linking different types of neighbourhood nature with general health using a harmonised international sample of adults. Using cross-sectional survey data from 18 countries (n = 15,917), we developed a multigroup path model to test theorised pathways, controlling for sociodemographic variables. We tested the possibility that neighbour-hood nature (e.g. greenspace, inland bluespace, and coastal bluespace) would be associated with general health through lower air pollution exposure, greater physical activity attainment, more social contact, and higher subjective well-being. However, our central prediction was that associations between different types of neigh-bourhood nature and general health would largely be serially mediated by recent visit frequency to corre-sponding environment types, and, subsequently, physical activity, social contact, and subjective well-being associated with these frequencies. Several subsidiary analyses assessed the robustness of the results to alternative model specifications as well as effect modification by sociodemographics. Consistent with this prediction, there was statistical support for eight of nine potential serial mediation pathways via visit frequency which held for a range of alternative model specifications. Effect modification by financial strain, sex, age, and urbanicity altered some associations but did not necessarily support the idea that nature reduced health inequalities. The results demonstrate that across countries, theorised nature-health linkages operate primarily through recreational contact with natural environments. This provides arguments for greater efforts to support use of local green/blue spaces for health promotion and disease prevention.</t>
  </si>
  <si>
    <t>[Elliott, Lewis R.; White, Mathew P.; Wheeler, Benedict W.; Grellier, James; Fleming, Lora E.] Univ Exeter, European Ctr Environm &amp; Human Hlth, Cornwall, England; [Pasanen, Tytti] Finnish Inst Hlth &amp; Welf, Tampere, Finland; [White, Mathew P.] Univ Vienna, Cognit Sci Hub, Vienna, Austria; [Grellier, James] Jagiellonian Univ, Inst Psychol, Krakow, Poland; [Cirach, Marta; van den Bosch, Matilda; Nieuwenhuijsen, Mark] ISGlobal, Barcelona, Spain; [Cirach, Marta; van den Bosch, Matilda; Nieuwenhuijsen, Mark] Univ Pompeu Fabra UPF, Barcelona, Spain; [Cirach, Marta; van den Bosch, Matilda; Nieuwenhuijsen, Mark] CIBER Epidemiol &amp; Salud Publ CIBERESP, Madrid, Spain; [Bratman, Gregory N.] Univ Washington, Sch Environm &amp; Forest Sci, Seattle, WA USA; [van den Bosch, Matilda] Univ British Columbia, Fac Forestry, Dept Forest &amp; Conservat Sci, Vancouver, BC, Canada; [van den Bosch, Matilda] Univ British Columbia, Fac Med, Sch Populat &amp; Publ Hlth, Vancouver, BC, Canada; [Roiko, Anne] Griffith Univ, Sch Pharm &amp; Med Sci, Nathan, Qld, Australia; [Ojala, Ann] Nat Resources Inst Finland Luke, Helsinki, Finland; [Elliott, Lewis R.] Univ Exeter, Royal Cornwall Hosp, European Ctr Environm &amp; Human Hlth, Knowledge Spa, Cornwall TR1 3HD, England</t>
  </si>
  <si>
    <t>University of Exeter; University of Vienna; Jagiellonian University; ISGlobal; Pompeu Fabra University; CIBER - Centro de Investigacion Biomedica en Red; CIBERESP; University of Washington; University of Washington Seattle; University of British Columbia; University of British Columbia; Griffith University; Natural Resources Institute Finland (Luke); Royal Cornwall Hospital; University of Exeter</t>
  </si>
  <si>
    <t>Elliott, LR (corresponding author), Univ Exeter, Royal Cornwall Hosp, European Ctr Environm &amp; Human Hlth, Knowledge Spa, Cornwall TR1 3HD, England.</t>
  </si>
  <si>
    <t>L.R.Elliott@exeter.ac.uk</t>
  </si>
  <si>
    <t>Roiko, Anne/0000-0003-0395-307X; Ojala, Ann/0000-0002-8557-8842; Elliott, Lewis/0000-0003-3864-9465</t>
  </si>
  <si>
    <t>European Union [666773]; Center for Conservation Biology, Stanford University; Faculty of Forestry, University of British Columbia; Natural Resources Institute Finland (Luke); Griffith University; University of the Sunshine Coast; ISCTE-University Institute of Lisbon; Environmental Protection Agency, Ireland; internal University of Exeter-Chinese University of Hong Kong international collaboration fund</t>
  </si>
  <si>
    <t>European Union(European Union (EU)); Center for Conservation Biology, Stanford University; Faculty of Forestry, University of British Columbia; Natural Resources Institute Finland (Luke); Griffith University(Griffith University); University of the Sunshine Coast; ISCTE-University Institute of Lisbon; Environmental Protection Agency, Ireland(Environmental Protection Agency Ireland (EPA)); internal University of Exeter-Chinese University of Hong Kong international collaboration fund</t>
  </si>
  <si>
    <t>We thank Ben Butler, Gavin Ellison, and Tom Powell at YouGov for managing the data collection pertaining to this study. We thank Perry Hystad for providing advanced access to contemporary NO&lt;SUB&gt;2 &lt;/SUB&gt;maps. This project has received funding from the European Union's Horizon 2020 research and innovation programme under grant agreement No 666773 (BlueHealth) . Data collection in California was supported by the Center for Conservation Biology, Stanford University. Data collection in Canada was supported by the Faculty of Forestry, University of British Columbia. Data collection in Finland was supported by the Natural Resources Institute Finland (Luke) . Data collection in Australia was supported by Griffith University and the University of the Sunshine Coast. Data collection in Portugal was supported by ISCTE-University Institute of Lisbon. Data collection in Ireland was supported by the Environmental Protection Agency, Ireland. Data collection in Hong Kong was supported by an internal University of Exeter-Chinese University of Hong Kong international collaboration fund. The funders had no role in the conceptualisation, design, analysis, decision to publish or preparation of the manuscript. A subset of the data used in this study can be downloaded from the UK Data Service (Elliott, LR, White, MP. 2022. BlueHealth International Survey Dataset, 2017-2018. [data collection] . UK Data Service. SN: 8874, doi: 10.5255/UKDA-SN-8874-2) .</t>
  </si>
  <si>
    <t>PERGAMON-ELSEVIER SCIENCE LTD</t>
  </si>
  <si>
    <t>OXFORD</t>
  </si>
  <si>
    <t>THE BOULEVARD, LANGFORD LANE, KIDLINGTON, OXFORD OX5 1GB, ENGLAND</t>
  </si>
  <si>
    <t>0160-4120</t>
  </si>
  <si>
    <t>1873-6750</t>
  </si>
  <si>
    <t>ENVIRON INT</t>
  </si>
  <si>
    <t>Environ. Int.</t>
  </si>
  <si>
    <t>AUG</t>
  </si>
  <si>
    <t>10.1016/j.envint.2023.108077</t>
  </si>
  <si>
    <t>JUL 2023</t>
  </si>
  <si>
    <t>Environmental Sciences</t>
  </si>
  <si>
    <t>Science Citation Index Expanded (SCI-EXPANDED)</t>
  </si>
  <si>
    <t>Environmental Sciences &amp; Ecology</t>
  </si>
  <si>
    <t>N8ZF3</t>
  </si>
  <si>
    <t>gold</t>
  </si>
  <si>
    <t>2023-08-21</t>
  </si>
  <si>
    <t>WOS:001039821800001</t>
  </si>
  <si>
    <t>Both</t>
  </si>
  <si>
    <t>Quantity of blue and green space</t>
  </si>
  <si>
    <t>Remote sensing</t>
  </si>
  <si>
    <t>Online Survey</t>
  </si>
  <si>
    <t>Analytical</t>
  </si>
  <si>
    <t xml:space="preserve">Observational </t>
  </si>
  <si>
    <t>Cross-sectional</t>
  </si>
  <si>
    <t>UK (18 countries)</t>
  </si>
  <si>
    <t>Yang, ZH; Zhao, XY; Zhu, L; Xia, YS; Ma, YX; Wu, JY; Xiong, XQ; Yang, N; Lu, M</t>
  </si>
  <si>
    <t>Yang, Zhenhong; Zhao, Xiaoying; Zhu, Lin; Xia, Yishi; Ma, Yixin; Wu, Jingyan; Xiong, Xueqian; Yang, Ni; Lu, Miao</t>
  </si>
  <si>
    <t>Research on the Healing Potential of Urban Parks from the Perspective of Audio-Visual Integration: A Case Study of Five Urban Parks in Chengdu</t>
  </si>
  <si>
    <t>LAND</t>
  </si>
  <si>
    <t>healing landscape; brain wave; audio-visual integration; therapeutic evaluation; park city</t>
  </si>
  <si>
    <t>STRESS RECOVERY; NATURE SOUND; MEDICATION; PERCEPTION; LANDSCAPE; ANNOYANCE; HEALTH; SPACE</t>
  </si>
  <si>
    <t>In recent decades, rapid urbanization has been linked to negative impacts on people's mental health. However, the healing potential of urban parks as central features of cityscapes has not been fully explored from the perspective of audio-visual integration. This gap limits designers' ability to leverage parks' healing systems to their full potential. To address this gap, this study used the Mindwave monitoring and recovery component scale to evaluate the healing function of urban parks in Chengdu, specifically focusing on audio-visual integration. Based on audio-visual scene combination samples collected through shooting and recording, we found that: (1) The visual and audio qualities of birdsong (the sky above the blue space and the green space) can significantly differ. (2) Birdsong and conversation seem to provide healing effects from seemingly contradictory dimensions of quiet and social, with gender differences as the primary influencing factor. (3) Visible children laughing at low levels (30% and 50%) has a more negative impact than invisible traffic noise at the same sound pressure level. (4) Audio-visual interaction does not always have a positive effect, with the visibility of the sound source as the primary influencing factor. (5) An increase in audio proportion did not necessarily correspond to a linear increase in the healing effect. Through exploring the influence of audio-visual combination scenes on healing effects in urban parks, this study provides an empirical basis for park design and planning that considers audio-visual healing effects. It offers insights into designing healing systems for parks and urban areas as well.</t>
  </si>
  <si>
    <t>[Yang, Zhenhong; Zhu, Lin; Lu, Miao] Sichuan Univ, Arts Coll, Chengdu 610207, Peoples R China; [Zhao, Xiaoying] Tsinghua Univ, Sch Architecture, Beijing 100084, Peoples R China; [Xia, Yishi] Sichuan Univ, Pittsburgh Inst, Chengdu 610207, Peoples R China; [Ma, Yixin] Sichuan Univ, West China Sch Publ Hlth, Chengdu 610044, Peoples R China; [Wu, Jingyan; Xiong, Xueqian] Sichuan Univ, Coll Architecture &amp; Environm, Chengdu 610207, Peoples R China; [Yang, Ni] Sichuan Univ, Sch Publ Adm, Chengdu 610052, Peoples R China</t>
  </si>
  <si>
    <t>Sichuan University; Tsinghua University; Sichuan University; Sichuan University; Sichuan University; Sichuan University</t>
  </si>
  <si>
    <t>Lu, M (corresponding author), Sichuan Univ, Arts Coll, Chengdu 610207, Peoples R China.</t>
  </si>
  <si>
    <t>lumiao815@scu.edu.cn</t>
  </si>
  <si>
    <t>MDPI</t>
  </si>
  <si>
    <t>BASEL</t>
  </si>
  <si>
    <t>ST ALBAN-ANLAGE 66, CH-4052 BASEL, SWITZERLAND</t>
  </si>
  <si>
    <t>2073-445X</t>
  </si>
  <si>
    <t>LAND-BASEL</t>
  </si>
  <si>
    <t>Land</t>
  </si>
  <si>
    <t>JUL</t>
  </si>
  <si>
    <t>10.3390/land12071317</t>
  </si>
  <si>
    <t>Environmental Studies</t>
  </si>
  <si>
    <t>Social Science Citation Index (SSCI)</t>
  </si>
  <si>
    <t>N3TZ2</t>
  </si>
  <si>
    <t>WOS:001036289400001</t>
  </si>
  <si>
    <t>P</t>
  </si>
  <si>
    <t>Audio-visual</t>
  </si>
  <si>
    <t>No</t>
  </si>
  <si>
    <t>Mindwave monitoring and Social Adjustment Reading Scale</t>
  </si>
  <si>
    <t>Experimental</t>
  </si>
  <si>
    <t>China</t>
  </si>
  <si>
    <t>Nevzati, F; Kulvik, M; Storie, J; Tiidu, LM; Bell, S</t>
  </si>
  <si>
    <t>Nevzati, Fiona; Kulvik, Mart; Storie, Joanna; Tiidu, Liisa-Maria; Bell, Simon</t>
  </si>
  <si>
    <t>Assessment of Cultural Ecosystem Services and Well-Being: Testing a Method for Evaluating Natural Environment and Contact Types in the Harku Municipality, Estonia</t>
  </si>
  <si>
    <t>SUSTAINABILITY</t>
  </si>
  <si>
    <t>ecosystem services; spatial planning and design; landscape architecture; peri-urbanisation; peri-urban areas; inter-rater reliability; planning frameworks; expert panel</t>
  </si>
  <si>
    <t>PHYSICAL-ACTIVITY; GREEN ENVIRONMENTS; ECOLOGICAL-SYSTEMS; URBAN; BIODIVERSITY; HEALTH; CHALLENGES; BENEFITS; LAND; URBANIZATION</t>
  </si>
  <si>
    <t>This study examined the evaluation of cultural ecosystem services (CESs) and their impact on well-being in peri-urban areas, using a case study in Harku municipality, Estonia. CESs, encompassing intangible factors such as emotions and values, are crucial for well-being but challenging to assess. To address this, a pilot method was developed, involving a typology of natural environment types (NETs) and contact types (CTs), assessed by a panel of local experts. The results revealed that spiritual, historic, and symbolic gardens exhibited a strong positive connection to well-being. Blue and green spaces offering physical activities and aesthetics were also highly rated. Surprisingly, cemeteries scored higher than expected. Agreement among experts varied, with parks + sporting showing near-perfect consensus and weaker agreement found in parks + food production, blue spaces + providing gathering places, and green landscape elements + education, highlighting diverse expert perspectives in identifying suitable combinations of NETs and CTs. This study addresses research-to-practice gaps and methodological challenges in applying CESs within planning frameworks, providing valuable insights for managing and conserving services in peri-urban areas. By testing the proposed method, this research contributes to a better understanding of how CESs can be effectively integrated into planning processes, fostering sustainable well-being in peri-urbanised regions.</t>
  </si>
  <si>
    <t>[Nevzati, Fiona; Kulvik, Mart; Storie, Joanna; Tiidu, Liisa-Maria; Bell, Simon] Estonian Univ Life Sci, Inst Agr &amp; Environm Sci, EE-51014 Tartu, Estonia; [Bell, Simon] Univ Edinburgh, Edinburgh Coll Art, OPENspace Res Ctr, Edinburgh EH3 9DF, Scotland</t>
  </si>
  <si>
    <t>Estonian University of Life Sciences; Edinburgh College of Art; University of Edinburgh</t>
  </si>
  <si>
    <t>Nevzati, F (corresponding author), Estonian Univ Life Sci, Inst Agr &amp; Environm Sci, EE-51014 Tartu, Estonia.</t>
  </si>
  <si>
    <t>fiona.nevzati@emu.ee; mart.kylvik@emu.ee; joannatamar.storie@emu.ee; tiidu.liisamaria@gmail.com; imon.bell@emu.ee</t>
  </si>
  <si>
    <t>2071-1050</t>
  </si>
  <si>
    <t>SUSTAINABILITY-BASEL</t>
  </si>
  <si>
    <t>Sustainability</t>
  </si>
  <si>
    <t>10.3390/su151310214</t>
  </si>
  <si>
    <t>Green &amp; Sustainable Science &amp; Technology; Environmental Sciences; Environmental Studies</t>
  </si>
  <si>
    <t>Science Citation Index Expanded (SCI-EXPANDED); Social Science Citation Index (SSCI)</t>
  </si>
  <si>
    <t>Science &amp; Technology - Other Topics; Environmental Sciences &amp; Ecology</t>
  </si>
  <si>
    <t>M2EB9</t>
  </si>
  <si>
    <t>WOS:001028354700001</t>
  </si>
  <si>
    <t>Cultural Ecosystem services</t>
  </si>
  <si>
    <t>Panel survey (expert)</t>
  </si>
  <si>
    <t>Estonia</t>
  </si>
  <si>
    <t>Xie, XH; Zhou, HZ; Gou, ZH</t>
  </si>
  <si>
    <t>Xie, Xiaohuan; Zhou, Hanzhi; Gou, Zhonghua</t>
  </si>
  <si>
    <t>Dynamic real-time individual green space exposure indices and the relationship with static green space exposure indices: A study in Shenzhen</t>
  </si>
  <si>
    <t>ECOLOGICAL INDICATORS</t>
  </si>
  <si>
    <t>Urban green space; Green space exposure; Static assessment; Dynamic assessment; Office workers' green space use behaviours</t>
  </si>
  <si>
    <t>URBAN GREENSPACE; HEALTH-BENEFITS; BLUE SPACES; WORK; ACCESSIBILITY; WORKPLACE; CONTEXT; STRESS; VIEW</t>
  </si>
  <si>
    <t>Many studies have demonstrated the importance of green spaces in promoting human physical and mental health. However, traditional static green space assessment and planning methods with core indicators, such as green space ratio, cannot effectively assess an individual's level of green space exposure. This study explores a method to calculate dynamic real-time green space exposure indices, such as total green space exposure level, green space exposure per unit time, and green space exposure per unit distance, and analyzes their relationship with static green space exposure indices measured using green space accessibility, availability, and visibility. A field study in a central business district in Shenzhen revealed that people whose workplaces had high levels of static green space exposure maintained relatively high levels of dynamic green space exposure. In addition, dynamic green space exposure was influenced by individuals' green space usage behaviors and travel time preferences. This study built an interactive analysis framework for dynamic and static green space exposure based on individual behaviour.</t>
  </si>
  <si>
    <t>[Xie, Xiaohuan] Shenzhen Univ, Sch Architecture &amp; Urban Planning, Shenzhen 518060, Peoples R China; [Xie, Xiaohuan] Shenzhen Univ, Shenzhen Key Lab Built Environm Optimizat, Shenzhen 518060, Peoples R China; [Gou, Zhonghua] Wuhan Univ, Sch Urban Design, Wuhan 430072, Peoples R China</t>
  </si>
  <si>
    <t>Shenzhen University; Shenzhen University; Wuhan University</t>
  </si>
  <si>
    <t>Gou, ZH (corresponding author), Wuhan Univ, Sch Urban Design, Wuhan 430072, Peoples R China.</t>
  </si>
  <si>
    <t>zh.gou@whu.edu.cn</t>
  </si>
  <si>
    <t>Gou, Zhonghua/0000-0001-9627-4724</t>
  </si>
  <si>
    <t>National Natural Science Foundation of China Youth Science Fund [52208068]</t>
  </si>
  <si>
    <t>National Natural Science Foundation of China Youth Science Fund</t>
  </si>
  <si>
    <t>Acknowledgements This research is funded by National Natural Science Foundation of China Youth Science Fund (52208068) .</t>
  </si>
  <si>
    <t>ELSEVIER</t>
  </si>
  <si>
    <t>AMSTERDAM</t>
  </si>
  <si>
    <t>RADARWEG 29, 1043 NX AMSTERDAM, NETHERLANDS</t>
  </si>
  <si>
    <t>1470-160X</t>
  </si>
  <si>
    <t>1872-7034</t>
  </si>
  <si>
    <t>ECOL INDIC</t>
  </si>
  <si>
    <t>Ecol. Indic.</t>
  </si>
  <si>
    <t>OCT</t>
  </si>
  <si>
    <t>10.1016/j.ecolind.2023.110557</t>
  </si>
  <si>
    <t>JUN 2023</t>
  </si>
  <si>
    <t>Biodiversity Conservation; Environmental Sciences</t>
  </si>
  <si>
    <t>Biodiversity &amp; Conservation; Environmental Sciences &amp; Ecology</t>
  </si>
  <si>
    <t>L4NB5</t>
  </si>
  <si>
    <t>hybrid</t>
  </si>
  <si>
    <t>WOS:001023037800001</t>
  </si>
  <si>
    <t>Green space exposure</t>
  </si>
  <si>
    <t>Yes (photogrpah and google earth) and gps tracking</t>
  </si>
  <si>
    <t>Face to face questionaire</t>
  </si>
  <si>
    <t>Quantatitive</t>
  </si>
  <si>
    <t>Randler, C; Vanhofen, J; Hartel, T; Neunhoeffer, F; Engeser, C; Fischer, C</t>
  </si>
  <si>
    <t>Randler, Christoph; Vanhoefen, Janina; Haertel, Talia; Neunhoeffer, Freya; Engeser, Cheyenne; Fischer, Christian</t>
  </si>
  <si>
    <t>Psychological restoration depends on curiosity, motivation, and species richness during a guided bird walk in a suburban blue space</t>
  </si>
  <si>
    <t>FRONTIERS IN PSYCHOLOGY</t>
  </si>
  <si>
    <t>psychological restoration; personality; bird species knowledge; big five; species richness; recovery</t>
  </si>
  <si>
    <t>BENEFITS; NEED; BIODIVERSITY; ACHIEVEMENT; PERSONALITY; COGNITION; LESS</t>
  </si>
  <si>
    <t>Urban and suburban green and blue spaces are important places for human recreation, and the impact of biodiversity on psychological and recalled restoration has received much attention. This study addresses the relationship between bird species richness and restoration in a controlled field experiment (guided bird walk) applying a battery of individual trait scales (need for cognition, personality) as predictors of restoration. We found a significant positive relationship between the number of bird species present and recalled restoration. Personality, bird species knowledge, bird related interest as test measures, demographics and birding specialization as self-report had no influence on psychological restoration. However, need for cognition correlated positively with psychological restoration, thus providing a new predictive variable. All subscales of the intrinsic motivation scale (enjoyment, perceived competence, perceived choice, pressure/tension) were positively correlated with restoration except of pressure/tension. Learning emotions like interest and well-being were positively related to restoration, while boredom was negatively related. Therefore, we suggest research to examine the restorative function of more cognitive-oriented programs because people may also need cognition when it comes to restoration. We also suggest a broader focus on education and cognitive aspects when it comes to linking biodiversity and health within the framework of ecosystem services.</t>
  </si>
  <si>
    <t>[Randler, Christoph; Vanhoefen, Janina; Haertel, Talia; Neunhoeffer, Freya] Univ Tubingen, Dept Biol, Tubingen, Germany; [Engeser, Cheyenne; Fischer, Christian] Univ Tubingen, Hector Res Inst Educ Sci &amp; Psychol, Tubingen, Germany</t>
  </si>
  <si>
    <t>Eberhard Karls University of Tubingen; Eberhard Karls University of Tubingen</t>
  </si>
  <si>
    <t>Randler, C (corresponding author), Univ Tubingen, Dept Biol, Tubingen, Germany.</t>
  </si>
  <si>
    <t>christoph.randler@uni-tuebingen.de</t>
  </si>
  <si>
    <t>Randler, Christoph/E-5691-2016</t>
  </si>
  <si>
    <t>Randler, Christoph/0000-0002-7357-2793</t>
  </si>
  <si>
    <t>FRONTIERS MEDIA SA</t>
  </si>
  <si>
    <t>LAUSANNE</t>
  </si>
  <si>
    <t>AVENUE DU TRIBUNAL FEDERAL 34, LAUSANNE, CH-1015, SWITZERLAND</t>
  </si>
  <si>
    <t>1664-1078</t>
  </si>
  <si>
    <t>FRONT PSYCHOL</t>
  </si>
  <si>
    <t>Front. Psychol.</t>
  </si>
  <si>
    <t>JUN 5</t>
  </si>
  <si>
    <t>10.3389/fpsyg.2023.1176202</t>
  </si>
  <si>
    <t>Psychology, Multidisciplinary</t>
  </si>
  <si>
    <t>Psychology</t>
  </si>
  <si>
    <t>J2PL9</t>
  </si>
  <si>
    <t>Green Published, gold</t>
  </si>
  <si>
    <t>WOS:001008081000001</t>
  </si>
  <si>
    <t>Pychological restoration</t>
  </si>
  <si>
    <t>pre-test and post-test with restoration questionaire</t>
  </si>
  <si>
    <t>Pretest-posttest</t>
  </si>
  <si>
    <t>Germany</t>
  </si>
  <si>
    <t>Wade, MT; Julian, JP; Jeffery, KS; Davidson, SM</t>
  </si>
  <si>
    <t>Wade, Madeline T. T.; Julian, Jason P. P.; Jeffery, Kevin S. S.; Davidson, Sarah M. M.</t>
  </si>
  <si>
    <t>A Participatory Approach to Assess Social Demand and Value of Urban Waterscapes: A Case Study in San Marcos, Texas, USA</t>
  </si>
  <si>
    <t>urban blue space; relational values; community science; COVID-19; participatory research; social-ecological systems; mixed methods; emotional experiences</t>
  </si>
  <si>
    <t>BLUE SPACE; ECOSYSTEM SERVICES; RESIDENTIAL GREEN; TRADE-OFFS; HEALTH; WATER</t>
  </si>
  <si>
    <t>Waterscapes can have meaningful benefits for people's wellbeing and mental health by helping them feel calmer and more connected to nature, especially in times of stress such as the COVID-19 pandemic. The waterscapes along the San Marcos River (Texas, USA) provide economic, social, environmental, and emotional benefits to the surrounding community. To assess the social demand for and emotional experiences in these blue spaces, we used a new framework called Blue Index that collects noncontact data from photo stations. From 10 photo stations across different waterscapes, we collected and analyzed 565 volunteer assessments from May 2021 to March 2022-during the COVID-19 pandemic and following the reopening of riverside parks. Most respondents (57%) indicated they spend more time at the river than they did before the onset of the pandemic. Moreover, 93% of respondents agreed that the waterscape they were visiting represented a refuge from stress and isolation caused by COVID-19. Overall, people valued waterscapes for ecological benefits and relationships with the place, rather than for recreation and tourism. Emotions experienced at all 10 waterscapes were overwhelmingly positive. Statistical tests revealed that higher positive emotions were significantly associated with biophysical perceptions of flow, cleanliness, and naturalness. Our results demonstrate that the benefits of blue spaces derive from an interrelated combination of ecosystem and mental health. The new Blue Index approach presented here promotes participatory land management through noncontact community engagement and knowledge coproduction.</t>
  </si>
  <si>
    <t>[Wade, Madeline T. T.] Univ Oklahoma, Dept Geog &amp; Environm Sustainabil, Norman, OK 73112 USA; [Julian, Jason P. P.] Texas State Univ, Dept Geog &amp; Environm Studies, San Marcos, TX 78666 USA; [Jeffery, Kevin S. S.; Davidson, Sarah M. M.] Reimagining Waterscapes Hlth Communities, Blue Index, San Diego, CA 92116 USA</t>
  </si>
  <si>
    <t>University of Oklahoma System; University of Oklahoma - Norman; Texas State University System; Texas State University San Marcos</t>
  </si>
  <si>
    <t>Julian, JP (corresponding author), Texas State Univ, Dept Geog &amp; Environm Studies, San Marcos, TX 78666 USA.</t>
  </si>
  <si>
    <t>madeline.wade@ou.edu; jason.julian@txstate.edu; kevin@blueindex.org; info@blueindex.org</t>
  </si>
  <si>
    <t>JUN</t>
  </si>
  <si>
    <t>10.3390/land12061137</t>
  </si>
  <si>
    <t>K6DC4</t>
  </si>
  <si>
    <t>WOS:001017315100001</t>
  </si>
  <si>
    <t>Blue Index panels (Exposure)</t>
  </si>
  <si>
    <t>Yes (participant photo)</t>
  </si>
  <si>
    <t>Online survey</t>
  </si>
  <si>
    <t>Longitudinal (10 months)</t>
  </si>
  <si>
    <t>USA</t>
  </si>
  <si>
    <t>Fian, L; White, MP; Thaler, T; Arnberger, A; Elliott, LR; Friesenecker, M</t>
  </si>
  <si>
    <t>Fian, Leonie; White, Mathew P.; Thaler, Thomas; Arnberger, Arne; Elliott, Lewis R.; Friesenecker, Michael</t>
  </si>
  <si>
    <t>Inequalities in residential nature and nature-based recreation are not universal: A country-level analysis in Austria</t>
  </si>
  <si>
    <t>URBAN FORESTRY &amp; URBAN GREENING</t>
  </si>
  <si>
    <t>Green space; Blue space; Inequalities; Neighbourhood nature; Recreational visits; Austria</t>
  </si>
  <si>
    <t>URBAN GREEN-SPACE; PHYSICAL-ACTIVITY; ACCESS; ENVIRONMENT; STRATEGIES; EXPOSURE; EQUITY; PARKS; CITY</t>
  </si>
  <si>
    <t>Evidence suggests that residential nature, e.g., greenness around the home, and nature-based recreation, e.g., visits to specific natural locations, are beneficial for health and well-being. However, several studies report that residential access is lower among socio-economically disadvantaged communities, potentially exacerbating health inequalities. We explored this issue in Austria, a relatively rural and mountainous country that also contains several cities, including the capital Vienna with around 2 million citizens. Data were drawn from a representative survey of the adult population across all nine Austrian regions (N symbolscript 2258) and explored socio-demographic predictors of residential green and blue space (using satellite data on surrounding greenness and distance to rivers and lakes), and visit frequencies to 12 different urban and rural green/blue environments. In contrast to most findings elsewhere, which usually focus on relatively specific locations (e.g., cities), we found little evidence of socio-economic inequalities in residential green/blue space at the whole country level. Further, although frequent visits to specific environments were less likely among, e.g., people with lower vs. higher education, other typically disadvantaged groups, e.g., those self-identifying as belonging vs. not belonging to an ethnic minority, reported more visits to e.g., urban parks and rivers. Findings suggest that inequalities in nature exposure may not be universal when considered at a country level.</t>
  </si>
  <si>
    <t>[Fian, Leonie; White, Mathew P.] Univ Vienna, Fac Psychol, Dept Cognit Emot &amp; Methods Psychol, Urban &amp; Environm Psychol Grp, Vienna, Austria; [White, Mathew P.] Univ Vienna, Cognit Sci HUB, Vienna, Austria; [Thaler, Thomas; Friesenecker, Michael] Univ Nat Resources &amp; Life Sci, Inst Landscape Planning ILAP, Vienna, Austria; [Arnberger, Arne] Univ Nat Resources &amp; Life Sci, Inst Landscape Dev Recreat &amp; Conservat Planning, Vienna, Austria; [Elliott, Lewis R.] Univ Exeter, European Ctr Environm &amp; Human Hlth ECEHH, Cornwall, England; [Fian, Leonie] Univ Vienna, Wachtergasse 1,3rd Floor,Room 303, A-1010 Vienna, Austria</t>
  </si>
  <si>
    <t>University of Vienna; University of Vienna; University of Natural Resources &amp; Life Sciences, Vienna; University of Natural Resources &amp; Life Sciences, Vienna; University of Exeter; University of Vienna</t>
  </si>
  <si>
    <t>Fian, L (corresponding author), Univ Vienna, Wachtergasse 1,3rd Floor,Room 303, A-1010 Vienna, Austria.</t>
  </si>
  <si>
    <t>leonie.fian@univie.ac.at</t>
  </si>
  <si>
    <t>European Union [666773]; Vienna Science and Technology Fund (WWTF) [ESR20-011]</t>
  </si>
  <si>
    <t>European Union(European Union (EU)); Vienna Science and Technology Fund (WWTF)</t>
  </si>
  <si>
    <t>This work was supported by the European Union's Horizon 2020 Research and Innovation Programme under grant agreement No 666773 (BlueHealth), and the Vienna Science and Technology Fund (WWTF) through project ESR20-011.</t>
  </si>
  <si>
    <t>ELSEVIER GMBH</t>
  </si>
  <si>
    <t>MUNICH</t>
  </si>
  <si>
    <t>HACKERBRUCKE 6, 80335 MUNICH, GERMANY</t>
  </si>
  <si>
    <t>1618-8667</t>
  </si>
  <si>
    <t>1610-8167</t>
  </si>
  <si>
    <t>URBAN FOR URBAN GREE</t>
  </si>
  <si>
    <t>Urban For. Urban Green.</t>
  </si>
  <si>
    <t>10.1016/j.ufug.2023.127977</t>
  </si>
  <si>
    <t>MAY 2023</t>
  </si>
  <si>
    <t>Plant Sciences; Environmental Studies; Forestry; Urban Studies</t>
  </si>
  <si>
    <t>Plant Sciences; Environmental Sciences &amp; Ecology; Forestry; Urban Studies</t>
  </si>
  <si>
    <t>K1DR4</t>
  </si>
  <si>
    <t>WOS:001013925000001</t>
  </si>
  <si>
    <t>Blue and green exposure</t>
  </si>
  <si>
    <t>Yes</t>
  </si>
  <si>
    <t>Austria</t>
  </si>
  <si>
    <t>Kanelli, AA; Kokkinaki, M; Sinvare, MD; Malesios, C; Dimitrakopoulos, PG; Kalantzi, OI</t>
  </si>
  <si>
    <t>Kanelli, Argyro Anna; Kokkinaki, Margarita; Sinvare, Marios-Dimitrios; Malesios, Chrisovalantis; Dimitrakopoulos, Panayiotis G.; Kalantzi, Olga-Ioanna</t>
  </si>
  <si>
    <t>Keep Calm and Go Out: Urban Nature Exposure, Mental Health, and Perceived Value during the COVID-19 Lockdown</t>
  </si>
  <si>
    <t>urban green spaces; urban blue spaces; COVID-19; perceived value; structural equation modeling</t>
  </si>
  <si>
    <t>LONG-TERM EXPOSURE; GREEN-SPACE; BLUE SPACES; OUTDOOR ENVIRONMENTS; ECOSYSTEM SERVICES; RESIDENTIAL GREEN; PHYSICAL-ACTIVITY; PARK USERS; BENEFITS; STRESS</t>
  </si>
  <si>
    <t>The COVID-19 pandemic has highlighted the importance of incorporating nature-based solutions in urban design, in order to create sustainable and resilient cities. Inspired by these events, the present study aims at exploring the mental health benefits of nature exposure during the outbreak. Secondarily, we investigate changes in use patterns towards urban green spaces (UGS) and urban blue spaces (UBS) and whether extreme conditions, such as these of a lockdown, can lead to an increase in people's appreciation of urban nature. Through an online survey, we observed that the pandemic resulted in a decrease in the frequency of visitation to UGS/UBS (p &lt; 0.001). Significant differences were found for exercise (p &lt; 0.001) and socialization (p &lt; 0.05) as main drivers for visiting urban nature pre- and post-lockdown. Accordingly, visitation rates for forests (p &lt; 0.05), playgrounds (p &lt; 0.001), and the sea (p &lt; 0.001) differed significantly when comparing the two periods. In people's perception, UGS/UBS are important for the urban fabric (89%). Our structural equation model indicated that nature exposure had a beneficial effect on participants' mental health (p &lt; 0.001). Pathways that explain the relationship between nature exposure and post- lockdown value were nature relatedness, motivation, and perceived importance of UGS/UBS. No mediation could be extracted for nature exposure and mental health. Our findings show the positive association between nature exposure and mental health improvement, especially in times of crisis, as well as a shift in the value domain towards urban nature.</t>
  </si>
  <si>
    <t>[Kanelli, Argyro Anna; Kokkinaki, Margarita; Sinvare, Marios-Dimitrios; Dimitrakopoulos, Panayiotis G.; Kalantzi, Olga-Ioanna] Univ Aegean, Dept Environm, Mitilini 81100, Greece; [Malesios, Chrisovalantis] Agr Univ Athens, Dept Agr Econ &amp; Rural Dev, Athens 11855, Greece</t>
  </si>
  <si>
    <t>University of Aegean; Agricultural University of Athens</t>
  </si>
  <si>
    <t>Kalantzi, OI (corresponding author), Univ Aegean, Dept Environm, Mitilini 81100, Greece.</t>
  </si>
  <si>
    <t>akanelli@env.aegean.gr; kalantzi@aegean.gr</t>
  </si>
  <si>
    <t>; Malesios, Chrisovaladis/C-6659-2018; Kalantzi, Olga-Ioanna/E-5085-2017</t>
  </si>
  <si>
    <t>Kanelli, Argyro Anna/0000-0003-1431-1945; Dimitrakopoulos, Panayiotis/0000-0002-8374-4392; Malesios, Chrisovaladis/0000-0003-0378-3939; Kalantzi, Olga-Ioanna/0000-0002-0466-212X</t>
  </si>
  <si>
    <t>MAY 30</t>
  </si>
  <si>
    <t>10.3390/su15118831</t>
  </si>
  <si>
    <t>I7OH1</t>
  </si>
  <si>
    <t>WOS:001004638100001</t>
  </si>
  <si>
    <t>Both?</t>
  </si>
  <si>
    <t>Greece</t>
  </si>
  <si>
    <t>Li, H; Ta, N; Yu, BL; Wu, JY</t>
  </si>
  <si>
    <t>Li, Hong; Ta, Na; Yu, Bailang; Wu, Jiayu</t>
  </si>
  <si>
    <t>Are the accessibility and facility environment of parks associated with mental health? A comparative analysis based on residential areas and workplaces</t>
  </si>
  <si>
    <t>LANDSCAPE AND URBAN PLANNING</t>
  </si>
  <si>
    <t>Residential areas; Workplaces; Park; Accessibility; Facility environment</t>
  </si>
  <si>
    <t>PHYSICAL-ACTIVITY; BLUE SPACES; URBAN PARKS; GREEN; BENEFITS; EXPOSURE; STRESS; ACCESS</t>
  </si>
  <si>
    <t>The spatial implications of urban parks for residents' mental health have attracted significant attention in the context of rapid urbanization and spatial reconstruction. While previous studies have examined park access in residential areas and mental health, direct evidence on the impact of park features in workplaces has been limited. This paper focuses on the association between mental health and park features in residential areas and workplaces by combining park data and individual survey data from suburban Shanghai, China. Both street and comprehensive parks are measured in terms of accessibility and the facility environment. The facility environ-ment includes sports facilities, open lawns, and blue spaces. The results indicate that the parks' facility envi-ronment shows more essential effects on residents' mental health than accessibility. For street parks, open lawns and better accessibility positively correlate with people's mental health, while these are not true for compre-hensive parks. Additionally, residential parks show a more positive correlation with the mental recovery of suburban residents than parks in workplaces, and the benefits of parks are more pronounced when people live and work closer to the urban central area. The findings of this study suggest the importance of park facilities in both residential areas and workplaces.</t>
  </si>
  <si>
    <t>[Li, Hong; Ta, Na; Yu, Bailang] East China Normal Univ, Key Lab Geog Informat Sci, Minist Educ, Shanghai 200241, Peoples R China; [Li, Hong; Ta, Na; Yu, Bailang] East China Normal Univ, Sch Geog Sci, Shanghai 200241, Peoples R China; [Li, Hong; Ta, Na; Yu, Bailang] Minist Nat Resources, Key Lab Spatial Temporal Big Data Anal &amp; Applicat, Shanghai 200241, Peoples R China; [Yu, Bailang] East China Normal Univ, Res Ctr China Adm Div, Shanghai 200241, Peoples R China; [Wu, Jiayu] Zhejiang Univ, Inst Landscape Architecture, Hangzhou 310058, Zhejiang, Peoples R China; [Ta, Na] 500 Dongchuan Rd, Shanghai 200241, Peoples R China</t>
  </si>
  <si>
    <t>East China Normal University; East China Normal University; Ministry of Natural Resources of the People's Republic of China; East China Normal University; Zhejiang University</t>
  </si>
  <si>
    <t>Wu, JY (corresponding author), Zhejiang Univ, Inst Landscape Architecture, Hangzhou 310058, Zhejiang, Peoples R China.;Ta, N (corresponding author), 500 Dongchuan Rd, Shanghai 200241, Peoples R China.</t>
  </si>
  <si>
    <t>51203901040@stu.ecnu.edu.cn; nta@geo.ecnu.edu.cn; wujiayula@gmail.com</t>
  </si>
  <si>
    <t>Ta, Na/P-1352-2015</t>
  </si>
  <si>
    <t>Ta, Na/0000-0001-7095-4262</t>
  </si>
  <si>
    <t>National Natural Science Foundation of China [41971200, 32271935]; Young Elite Scientists Sponsorship Program by CAST [2021QNRC001]; Fundamental ResearchFunds for the Central Universities-East China Normal University Young Interdisciplinary Innovation Team Project in Humanities and Social Sciences [2022QKT005]</t>
  </si>
  <si>
    <t>National Natural Science Foundation of China(National Natural Science Foundation of China (NSFC)); Young Elite Scientists Sponsorship Program by CAST; Fundamental ResearchFunds for the Central Universities-East China Normal University Young Interdisciplinary Innovation Team Project in Humanities and Social Sciences</t>
  </si>
  <si>
    <t>Acknowledgements This work was supported by the National Natural Science Foundation of China [grant number 41971200, 32271935] ; Young Elite Scientists Sponsorship Program by CAST (2021QNRC001) ; Fundamental ResearchFunds for the Central Universities-East China Normal University Young Interdisciplinary Innovation Team Project in Humanities and Social Sciences (2022QKT005) . Data availability statement. Due to the sensitive nature of the questions in this study, survey respondents were assured that the raw data would remain confidential and would not be shared publicly.</t>
  </si>
  <si>
    <t>0169-2046</t>
  </si>
  <si>
    <t>1872-6062</t>
  </si>
  <si>
    <t>LANDSCAPE URBAN PLAN</t>
  </si>
  <si>
    <t>Landsc. Urban Plan.</t>
  </si>
  <si>
    <t>SEP</t>
  </si>
  <si>
    <t>10.1016/j.landurbplan.2023.104807</t>
  </si>
  <si>
    <t>Ecology; Environmental Studies; Geography; Geography, Physical; Regional &amp; Urban Planning; Urban Studies</t>
  </si>
  <si>
    <t>Environmental Sciences &amp; Ecology; Geography; Physical Geography; Public Administration; Urban Studies</t>
  </si>
  <si>
    <t>J0SX7</t>
  </si>
  <si>
    <t>WOS:001006801800001</t>
  </si>
  <si>
    <t>Park features and mental health</t>
  </si>
  <si>
    <t>In person questionaire</t>
  </si>
  <si>
    <t>McCartan, C; Davidson, G; Bradley, L; Greer, K; Knifton, L; Mulholland, A; Webb, P; White, C</t>
  </si>
  <si>
    <t>McCartan, Claire; Davidson, Gavin; Bradley, Liam; Greer, Katherine; Knifton, Lee; Mulholland, Aodan; Webb, Paul; White, Chris</t>
  </si>
  <si>
    <t>'Lifts your spirits, lifts your mind': A co-produced mixed-methods exploration of the benefits of green and blue spaces for mental wellbeing</t>
  </si>
  <si>
    <t>HEALTH EXPECTATIONS</t>
  </si>
  <si>
    <t>green and blue spaces; health inequalities; mental health; mixed methods; nature connectedness; physical health; wellbeing</t>
  </si>
  <si>
    <t>PHYSICAL-ACTIVITY; STRESS RECOVERY; URBAN GREEN; HEALTH; DEPRESSION; EXPOSURE; PEOPLE; CRIME; INDIVIDUALS; VEGETATION</t>
  </si>
  <si>
    <t>Introduction: Mental health problems are a considerable public health issue and spending time in nature has been promoted as a way to access a range of psychological benefits leading to the development of nature-based interventions for people with severe and enduring mental health problems. Less, however, is understood about the potential benefits and efficacy of day-to-day routine access to outdoor green and blue spaces for mental health service users. Methods: Using a mixed-methods design between April and October 2021, we explored the benefits and barriers to spending time outdoors with a purposive sample of mental health service users (N = 11) using qualitative interviews and an online general population survey (N = 1791). Qualitative evidence highlighted the restorative benefits of nature and identified a number of barriers associated with fears around personal safety, social anxiety, fatigue and lack of motivation. COVID-19 had also restricted access to green and blue spaces. Having social contact and support encouraged people to spend time outdoors. In the quantitative survey, self-report and standardised measures (the Patient Health Questionnaire and the Warwick-Edinburgh Wellbeing Scale) were used to assess past and current mental wellbeing. Findings: Statistically significant differences were found between wellbeing and the use of green and blue spaces. Those with mental health problems spent time outdoors because they: felt guilty; wanted to reduce their anxiety; or rely on someone for encouragement. Those without mental health problems endorsed more positively framed reasons including relaxation, improving physical health or getting exercise. Barriers for people with mental health problems involved safety concerns, feeling anxious and having a poor self-image. These findings give insight into motivations for an outdoor activity to help inform the design of public mental health interventions. Conclusion: Further work is required to improve access and safety to promote the benefits of green and blue spaces for everyone. Patient or Public Contribution: The research team included expert experienced researchers with a mental health service provider (Praxis Care) and they were involved in the development of the research idea, funding application, design, data collection, analysis, writing up and dissemination activities.</t>
  </si>
  <si>
    <t>[McCartan, Claire] Northern Hlth &amp; Social Care Trust, Reg Trauma Network, IMPACT Res Ctr, Antrim, North Ireland; [McCartan, Claire; Davidson, Gavin] Queens Univ Belfast, Sch Social Sci Educ &amp; Social Work, Belfast, North Ireland; [Bradley, Liam; Greer, Katherine; Mulholland, Aodan; Webb, Paul] Praxis Care, Belfast, North Ireland; [Knifton, Lee] Mental Hlth Fdn, Glasgow, Scotland</t>
  </si>
  <si>
    <t>Queens University Belfast</t>
  </si>
  <si>
    <t>Davidson, G (corresponding author), Queens Univ Belfast, Sch Social Sci Educ &amp; Social Work, 6 Coll Pk, Belfast BT7 1LP, North Ireland.</t>
  </si>
  <si>
    <t>g.davidson@qub.ac.uk</t>
  </si>
  <si>
    <t>McCartan, Claire/0000-0002-2341-9715</t>
  </si>
  <si>
    <t>UKRI Closing the Gap initiative [ES/S004459/1]</t>
  </si>
  <si>
    <t>UKRI Closing the Gap initiative</t>
  </si>
  <si>
    <t>UKRI Closing the Gap initiative, Grant/Award Number: ES/S004459/1</t>
  </si>
  <si>
    <t>WILEY</t>
  </si>
  <si>
    <t>HOBOKEN</t>
  </si>
  <si>
    <t>111 RIVER ST, HOBOKEN 07030-5774, NJ USA</t>
  </si>
  <si>
    <t>1369-6513</t>
  </si>
  <si>
    <t>1369-7625</t>
  </si>
  <si>
    <t>HEALTH EXPECT</t>
  </si>
  <si>
    <t>Health Expect.</t>
  </si>
  <si>
    <t>10.1111/hex.13773</t>
  </si>
  <si>
    <t>Health Care Sciences &amp; Services; Health Policy &amp; Services; Public, Environmental &amp; Occupational Health</t>
  </si>
  <si>
    <t>Health Care Sciences &amp; Services; Public, Environmental &amp; Occupational Health</t>
  </si>
  <si>
    <t>M0KK1</t>
  </si>
  <si>
    <t>Green Published, Green Accepted, gold</t>
  </si>
  <si>
    <t>WOS:000979782300001</t>
  </si>
  <si>
    <t>P/S</t>
  </si>
  <si>
    <t>How mental health efffects exposures benefits and frequency</t>
  </si>
  <si>
    <t>Telephone interviews (in person not possible because of C19) + Online questionaires</t>
  </si>
  <si>
    <t>Cross-sectional +Longitudinal</t>
  </si>
  <si>
    <t>UK</t>
  </si>
  <si>
    <t>Wilczynska, A; Niin, G; Vassiljev, P; Myszka, I; Bell, S</t>
  </si>
  <si>
    <t>Wilczynska, Anna; Niin, Gloria; Vassiljev, Peeter; Myszka, Izabela; Bell, Simon</t>
  </si>
  <si>
    <t>Perceptions and Patterns of Use of Blue Spaces in Selected European Cities: Tartu, Tallinn, Barcelona, Warsaw and Plymouth</t>
  </si>
  <si>
    <t>blue spaces; perception; patterns of use</t>
  </si>
  <si>
    <t>URBAN GREEN SPACE; ECOSYSTEM SERVICES; PHYSICAL-ACTIVITY; MENTAL-HEALTH; INFRASTRUCTURE; ENVIRONMENTS; LANDSCAPES; IMPACT; AREAS; MANAGEMENT</t>
  </si>
  <si>
    <t>Urban blue infrastructure is an important component of the urban landscape for ecological, economic, social, and cultural reasons. However, there is a clear research gap in relation to preferences and patterns of use in the context of different blue spaces, considering the citywide context and different cultural and geographical settings. Additionally, when compared to green spaces, the location and morphology of urban blue elements are usually geographically predefined, and it is much less possible to ensure their equitable distribution with respect to population. To fill this gap, we decided to explore the effect of distance from residential areas, the role of water, the level of facilities, and the character of blue spaces in attracting visitors of different demographic characteristics in a sample of different European cities. We used a public participatory geographic information system approach (PPGIS) to collect data about residents' favourite blue spaces in each city and categorize the most popular of these according to whether they were close to or distant from respondents' homes. We also categorized the types of blue spaces and the level of facilities present. The results show that certain key blue spaces, such as the seaside or beaches, attract more distant visitors and that the pattern of the blue spaces within the city also affects visitation. There are many differences among the studied cities due to the morphology determined by geography. The usage of blue spaces is very site-specific and should be studied in more detail at the city and place levels, focusing on the different roles of everyday and destination places.</t>
  </si>
  <si>
    <t>[Wilczynska, Anna; Myszka, Izabela] Warsaw Univ Life Sci WULS SGGW, Inst Environm Engn, Dept Landscape Art, PL-02787 Warsaw, Poland; [Wilczynska, Anna; Niin, Gloria; Vassiljev, Peeter; Bell, Simon] Estonian Univ Life Sci, Dept Landscape Architecture, EE-51006 Tartu, Estonia; [Bell, Simon] Univ Edinburgh, Edinburgh Sch Architecture &amp; Landscape Architectur, Edinburgh EH3 9DF, Scotland</t>
  </si>
  <si>
    <t>Warsaw University of Life Sciences; Estonian University of Life Sciences; University of Edinburgh</t>
  </si>
  <si>
    <t>Wilczynska, A (corresponding author), Warsaw Univ Life Sci WULS SGGW, Inst Environm Engn, Dept Landscape Art, PL-02787 Warsaw, Poland.;Wilczynska, A (corresponding author), Estonian Univ Life Sci, Dept Landscape Architecture, EE-51006 Tartu, Estonia.</t>
  </si>
  <si>
    <t>anna.wilczynska@emu.ee; s.bell@ed.ac.uk</t>
  </si>
  <si>
    <t>the European Union's Horizon 2020 research and innovation program [666773]; the National Science Centre, Poland [2018/29/N/HS4/01421]</t>
  </si>
  <si>
    <t>the European Union's Horizon 2020 research and innovation program; the National Science Centre, Poland</t>
  </si>
  <si>
    <t>This research was funded by (a) the European Union's Horizon 2020 research and innovation program under grant agreement No. 666773, project name BlueHealth and (b) the National Science Centre, Poland [grant number 2018/29/N/HS4/01421], the title of the project: Blue infrastructure within the cultural landscape of Warsaw.</t>
  </si>
  <si>
    <t>APR 28</t>
  </si>
  <si>
    <t>10.3390/su15097392</t>
  </si>
  <si>
    <t>G2ST8</t>
  </si>
  <si>
    <t>WOS:000987724700001</t>
  </si>
  <si>
    <t>The effects of configuaration, distance and types of blue space in relation to use</t>
  </si>
  <si>
    <t>Bing maps to locate blue spaces</t>
  </si>
  <si>
    <t xml:space="preserve">Maptionnaire </t>
  </si>
  <si>
    <t>European cities</t>
  </si>
  <si>
    <t>Fleckney, P</t>
  </si>
  <si>
    <t>Fleckney, Paul</t>
  </si>
  <si>
    <t>?A little escape dome?: Exploring how older adolescents experience urban parks as sites of mental wellbeing in Melbourne, Australia</t>
  </si>
  <si>
    <t>Adolescents; Mental Health; Built Environment; Green space; Parks; Nature</t>
  </si>
  <si>
    <t>PHYSICAL-ACTIVITY; GREEN SPACE; FAVORITE PLACES; BLUE SPACE; HEALTH; IMPACT; RESTORATION; ENVIRONMENT; LANDSCAPES; EXPOSURE</t>
  </si>
  <si>
    <t>Prior research supports the role of biopsychosocial pathways like restoration, physical activity and social cohesion in mediating the relationship between urban greenspace and positive mental wellbeing in adults. The evidence for the validity of these and other pathways in adolescent populations is less robust. This paper examines how urban parks can contribute to adolescent mental wellbeing. The author conducted in-depth interviews and participatory workshops with older adolescents living in Melbourne, Australia to explore how they construct their experience in urban parks and how their experiences impact their psychological and emotional wellbeing. The findings show that urban parks can have salutogenic (health-giving) effects for this cohort. The results provide support for the role of functional, biopsychosocial pathways similar to those known to operate for adults in mediating positive mental wellbeing. At the same time, this research emphasises the significance of older adolescents' age-specific developmental needs in shaping their experience of, and wellbeing outcomes from, urban parks and green spaces. This paper concludes with a conceptual framework that seeks to guide future research by integrating the restorative and socio-spatial characteristics of urban parks and green space, which emphasises the complex and interconnected nature of pathways to mental wellbeing in older adolescents.</t>
  </si>
  <si>
    <t>[Fleckney, Paul] Univ Melbourne, Fac Architecture Bldg &amp; Planning, Melbourne Sch Design, Masson Rd, Parkville, Vic 3010, Australia</t>
  </si>
  <si>
    <t>University of Melbourne</t>
  </si>
  <si>
    <t>Fleckney, P (corresponding author), Univ Melbourne, Fac Architecture Bldg &amp; Planning, Melbourne Sch Design, Masson Rd, Parkville, Vic 3010, Australia.</t>
  </si>
  <si>
    <t>paul.fleckney@unimelb.edu.au</t>
  </si>
  <si>
    <t>Fleckney, Paul/0000-0003-2445-0930</t>
  </si>
  <si>
    <t>10.1016/j.landurbplan.2023.104753</t>
  </si>
  <si>
    <t>MAR 2023</t>
  </si>
  <si>
    <t>C9MZ0</t>
  </si>
  <si>
    <t>WOS:000965089200001</t>
  </si>
  <si>
    <t>Salutogenic effects</t>
  </si>
  <si>
    <t>Interviews and workshops</t>
  </si>
  <si>
    <t>Qualitative</t>
  </si>
  <si>
    <t>Australia</t>
  </si>
  <si>
    <t>Wang, RY; Browning, MHEM; Kee, F; Hunter, RF</t>
  </si>
  <si>
    <t>Wang, Ruoyu; Browning, Matthew H. E. M.; Kee, Frank; Hunter, Ruth F.</t>
  </si>
  <si>
    <t>Exploring mechanistic pathways linking urban green and blue space to mental wellbeing before and after urban regeneration of a greenway: Evidence from the Connswater Community Greenway, Belfast, UK</t>
  </si>
  <si>
    <t>Urban green space; Urban blue space; Mental wellbeing; Urban regeneration; Nature -health mechanisms; Structural equation modeling</t>
  </si>
  <si>
    <t>PHYSICAL-ACTIVITY; CONFIDENCE-INTERVALS; NOISE ANNOYANCE; PUBLIC-HEALTH; AIR-POLLUTION; QUALITY; TREE; BOOTSTRAP; NETWORKS; IMPACT</t>
  </si>
  <si>
    <t>Urban regeneration of urban green and blue spaces (UGBS) is assumed to benefit residents' mental wellbeing. However, the mechanistic pathways linking UGBS to wellbeing before vs. after regeneration remain unclear. This study assessed the mediating roles of subjective perceptions of the environment and instoration indicators (social capital and physical activity) linking UGBS proximity and mental wellbeing along the Connswater Community Greenway (CCG) in Belfast, Northern Ireland, UK. Repeated cross-sectional household survey data were collected from adult residents who lived within a &lt;= 1-mile radius of the CCG pre-intervention (2010/2011; n = 866) and six months post implementation (2016/2017; n = 866). The CCG intervention involved the development of an urban greenway which included 19 km of new and improved cycle paths and walkways, physical improvements (e.g., planting trees and shrubs) coupled with social programs (e.g., organized walking groups). Mental wellbeing was assessed using the Warwick-Edinburgh Mental Wellbeing Scale (WEMWBS), and UGBS exposure was measured as the distance from the home address to the nearest CCG access point. Subjective environment per-ceptions included attractiveness, traffic, amenities, and perceived safety. Instoration indicators included physical activity, social trust, and social networks. Structural equation models assessed the differential pathways between UGBS exposure and mental wellbeing before vs. after implementation. Results offered no significant support for the notion that distance to the CCG impacted mental wellbeing before the intervention. In contrast, after the intervention, distance to the CCG was indirectly and directly associated with mental wellbeing. Mediating pathways included amenities positively impacting physical activity, and perceived safety positively impacting social trust. These findings provide evidence that UGBS influences mental wellbeing through multiple mecha-nistic pathways including changing people's subjective perceptions and promoting instoration after the devel-opment of a new urban greenway.</t>
  </si>
  <si>
    <t>[Wang, Ruoyu; Kee, Frank; Hunter, Ruth F.] Queens Univ Belfast, Ctr Publ Hlth, Belfast, North Ireland; [Browning, Matthew H. E. M.] Clemson Univ, Dept Pk Recreat &amp; Tourism Management, Clemson, SC 29634 USA</t>
  </si>
  <si>
    <t>Queens University Belfast; Clemson University</t>
  </si>
  <si>
    <t>Wang, RY (corresponding author), Queens Univ Belfast, Ctr Publ Hlth, Belfast, North Ireland.</t>
  </si>
  <si>
    <t>r.wang@qub.ac.uk; mhb2@clemson.edu; F.Kee@qub.ac.uk; ruth.hunter@qub.ac.uk</t>
  </si>
  <si>
    <t>Wang, Ruoyu/S-3360-2019</t>
  </si>
  <si>
    <t>Wang, Ruoyu/0000-0002-7240-558X; Hunter, Ruth/0000-0001-7315-0382</t>
  </si>
  <si>
    <t>UK Prevention Research Partnership - British Heart Foundation [MR/V049704/1]; Cancer Research UK; Chief Scientist Office of the Scottish Government Health and Social Care Directorates; Engineering and Physical Sciences Research Council; Economic and Social Research Council; Health and Social Care Research and Development Division (Welsh Government); Medical Research Council; National Institute for Health Research; Natural Environment Research Council; Public Health Agency (Northern Ireland); The Health Foundation; Wellcome; HSC Research and Development Office Northern Ireland [COM/5634/20]; National Prevention Research Initiative (NPRI) [G0802045/1]; Alzheimer's Research Trust; Alzheimer's Society; Biotechnology and Biological Sciences Research Council; British Heart Foundation; Chief Scientist Office; Scottish Government Health Directorate; Department of Health; Diabetes UK; Health and Social Care Research and Development Division of the Public Health Agency (HSC RD Division); Stroke Association; Welsh Assembly Government; World Cancer Research Fund; UKCRC Centre of Excellence for Public Health Northern Ireland</t>
  </si>
  <si>
    <t>UK Prevention Research Partnership - British Heart Foundation; Cancer Research UK(Cancer Research UK); Chief Scientist Office of the Scottish Government Health and Social Care Directorates; Engineering and Physical Sciences Research Council(UK Research &amp; Innovation (UKRI)Engineering &amp; Physical Sciences Research Council (EPSRC)); Economic and Social Research Council(UK Research &amp; Innovation (UKRI)Economic &amp; Social Research Council (ESRC)); Health and Social Care Research and Development Division (Welsh Government); Medical Research Council(UK Research &amp; Innovation (UKRI)Medical Research Council UK (MRC)); National Institute for Health Research(National Institutes of Health Research (NIHR)); Natural Environment Research Council(UK Research &amp; Innovation (UKRI)Natural Environment Research Council (NERC)); Public Health Agency (Northern Ireland); The Health Foundation; Wellcome(Wellcome Trust); HSC Research and Development Office Northern Ireland; National Prevention Research Initiative (NPRI); Alzheimer's Research Trust; Alzheimer's Society; Biotechnology and Biological Sciences Research Council(UK Research &amp; Innovation (UKRI)Biotechnology and Biological Sciences Research Council (BBSRC)); British Heart Foundation(British Heart Foundation); Chief Scientist Office; Scottish Government Health Directorate; Department of Health; Diabetes UK(Diabetes UK); Health and Social Care Research and Development Division of the Public Health Agency (HSC RD Division); Stroke Association; Welsh Assembly Government; World Cancer Research Fund(World Cancer Research Fund International (WCRF)); UKCRC Centre of Excellence for Public Health Northern Ireland</t>
  </si>
  <si>
    <t>This work was supported by the UK Prevention Research Partnership (MR/V049704/1), which is funded by the British Heart Foundation, Cancer Research UK, Chief Scientist Office of the Scottish Government Health and Social Care Directorates, Engineering and Physical Sciences Research Council, Economic and Social Research Council, Health and Social Care Research and Development Division (Welsh Government), Medical Research Council, National Institute for Health Research, Natural Environment Research Council, Public Health Agency (Northern Ireland), The Health Foundation and Wellcome. The work is also support by the HSC Research and Development Office Northern Ireland (COM/5634/20).The PARC study was supported by a grant from the National Prevention Research Initiative (NPRI) (grant number: G0802045/1). The &lt;STRONG&gt;Funding &lt;/STRONG&gt;partners are (in alphabetical order): Alzheimer's Research Trust; Alzheimer's Society; Biotechnology and Biological Sciences Research Council; British Heart Foundation; Cancer Research UK; Chief Scientist Office; Scottish Government Health Directorate; Department of Health; Diabetes UK; Economic and Social Research Council; Engineering and Physical Sciences Research Council; Health and Social Care Research and Development Division of the Public Health Agency (HSC R&amp;D Division); Medical Research Council; The Stroke Association; Welsh Assembly Government and World Cancer Research Fund. We wish to also acknowledge funding from the UKCRC Centre of Excellence for Public Health Northern Ireland.</t>
  </si>
  <si>
    <t>10.1016/j.landurbplan.2023.104739</t>
  </si>
  <si>
    <t>A6AE3</t>
  </si>
  <si>
    <t>hybrid, Green Published</t>
  </si>
  <si>
    <t>WOS:000955921200001</t>
  </si>
  <si>
    <t>Mental well-being from exposure (before and after installation of grrenway)</t>
  </si>
  <si>
    <t>Yes (distance)</t>
  </si>
  <si>
    <t>House-hold surveys</t>
  </si>
  <si>
    <t>Repeat Cross-sectional</t>
  </si>
  <si>
    <t>Northern Ireland</t>
  </si>
  <si>
    <t>Garrett, JK; White, MP; Elliott, LR; Grellier, J; Bell, S; Bratman, GN; Economou, T; Gascon, M; Lohmus, M; Nieuwenhuijsen, M; Ojala, A; Roiko, A; van den Bosch, M; Thompson, CW; Fleming, LE</t>
  </si>
  <si>
    <t>Garrett, Joanne K.; White, Mathew P.; Elliott, Lewis R.; Grellier, James; Bell, Simon; Bratman, Gregory N.; Economou, Theo; Gascon, Mireia; Lohmus, Mare; Nieuwenhuijsen, Mark; Ojala, Ann; Roiko, Anne; van den Bosch, Matilda; Ward Thompson, Catharine; Fleming, Lora E.</t>
  </si>
  <si>
    <t>Applying an ecosystem services framework on nature and mental health to recreational blue space visits across 18 countries</t>
  </si>
  <si>
    <t>SCIENTIFIC REPORTS</t>
  </si>
  <si>
    <t>PSYCHOLOGICAL BENEFITS; CULTURAL SERVICES; URBAN; ENVIRONMENTS; QUALITY; PEOPLE; ADULTS</t>
  </si>
  <si>
    <t>The effects of 'nature' on mental health and subjective well-being have yet to be consistently integrated into ecosystem service models and frameworks. To address this gap, we used data on subjective mental well-being from an 18-country survey to test a conceptual model integrating mental health with ecosystem services, initially proposed by Bratman et al. We analysed a range of individual and contextual factors in the context of 14,998 recreational visits to blue spaces, outdoor environments which prominently feature water. Consistent with the conceptual model, subjective mental well-being outcomes were dependent upon on a complex interplay of environmental type and quality, visit characteristics, and individual factors. These results have implications for public health and environmental management, as they may help identify the bluespace locations, environmental features, and key activities, that are most likely to impact well-being, but also potentially affect recreational demand on fragile aquatic ecosystems.</t>
  </si>
  <si>
    <t>[Garrett, Joanne K.; White, Mathew P.; Elliott, Lewis R.; Grellier, James; Fleming, Lora E.] Univ Exeter, Med Sch, Royal Cornwall Hosp, European Ctr Environm &amp; Human Hlth,Knowledge Spa, Truro TR1 3HD, Cornwall, England; [White, Mathew P.] Univ Vienna, Cognit Sci HUB, Vienna, Austria; [Grellier, James] Jagiellonian Univ, Inst Psychol, Ul Ingardena 6, PL-30060 Krakow, Poland; [Bell, Simon] Estonian Univ Life Sci, Tartu, Estonia; [Bell, Simon; Ward Thompson, Catharine] Univ Edinburgh, OPENspace Res Ctr, Edinburgh Sch Architecture &amp; Landscape Architectur, Edinburgh EH3 9DF, Scotland; [Bratman, Gregory N.] Univ Washington, Sch Environm &amp; Forest Sci, Seattle, WA USA; [Economou, Theo] Univ Exeter, Coll Engn Math &amp; Phys Sci, Exeter, England; [Economou, Theo] Cyprus Inst, Climate &amp; Atmosphere Res Ctr, Aglandjia, Cyprus; [Gascon, Mireia; Nieuwenhuijsen, Mark; van den Bosch, Matilda] ISGlobal, Barcelona, Spain; [Gascon, Mireia; Nieuwenhuijsen, Mark; van den Bosch, Matilda] Univ Pompeu Fabra UPF, Barcelona, Spain; [Gascon, Mireia; Nieuwenhuijsen, Mark; van den Bosch, Matilda] CIBER Epidemiol &amp; Salud Publ CIBERESP, Madrid, Spain; [Lohmus, Mare] Karolinska Inst, Inst Environm Med, Solna, Sweden; [Ojala, Ann] Nat Resources Inst Finland Luke, Helsinki, Finland; [Roiko, Anne] Griffith Univ, Cities Res Inst, Gold Coast, Australia; [Roiko, Anne] Griffith Univ, Menzies Hlth Inst Queensland, Gold Coast, Australia; [van den Bosch, Matilda] Univ British Columbia, Sch Populat &amp; Publ Hlth, Vancouver, BC, Canada; [van den Bosch, Matilda] Univ British Columbia, Dept Forest &amp; Conservat Sci, Vancouver, BC, Canada</t>
  </si>
  <si>
    <t>Royal Cornwall Hospital; University of Exeter; University of Vienna; Jagiellonian University; Estonian University of Life Sciences; University of Edinburgh; University of Washington; University of Washington Seattle; University of Exeter; ISGlobal; Pompeu Fabra University; CIBER - Centro de Investigacion Biomedica en Red; CIBERESP; Karolinska Institutet; Natural Resources Institute Finland (Luke); Griffith University; Griffith University; Menzies Health Institute Queensland; University of British Columbia; University of British Columbia</t>
  </si>
  <si>
    <t>Garrett, JK; White, MP (corresponding author), Univ Exeter, Med Sch, Royal Cornwall Hosp, European Ctr Environm &amp; Human Hlth,Knowledge Spa, Truro TR1 3HD, Cornwall, England.;White, MP (corresponding author), Univ Vienna, Cognit Sci HUB, Vienna, Austria.</t>
  </si>
  <si>
    <t>j.k.garrett@Exeter.ac.uk; mathew.white@univie.ac.at</t>
  </si>
  <si>
    <t>Roiko, Anne/0000-0003-0395-307X</t>
  </si>
  <si>
    <t>European Union; Accion Estrategica de Salud-Instituto de Salud Carlos III; European Social Fund Investing in your future; Spanish Ministry of Science and Innovation through the Centro de Excelencia Severo Ochoa 2019-2023 Program [666773, CEX2018-000806-S]; Generalitat de Catalunya through the CERCA Program [856612]; Cyprus Government;  [CP19/00183]</t>
  </si>
  <si>
    <t xml:space="preserve">European Union(European Union (EU)); Accion Estrategica de Salud-Instituto de Salud Carlos III; European Social Fund Investing in your future; Spanish Ministry of Science and Innovation through the Centro de Excelencia Severo Ochoa 2019-2023 Program(Spanish Government); Generalitat de Catalunya through the CERCA Program; Cyprus Government; </t>
  </si>
  <si>
    <t>This project has received funding from the European Union's Horizon 2020 research and innovation programme under Grant Agreement No. 666773. Data collection in California was supported by the Center for Conservation Biology, Stanford University. Data collection in Canada was supported by the Faculty of Forestry, University of British Columbia. Data collection in Finland was supported by the Natural Resources Institute Finland (Luke). Data collection in Australia was supported by Griffith University and the University of the Sunshine Coast. Data collection in Portugal was supported by ISCTE-University Institute of Lisbon. Data collection in Ireland was supported by the Environmental Protection Agency, Ireland. Data collection in Hong Kong was supported by an internal University of Exeter-Chinese University of Hong Kong international collaboration fund. MG holds a Miguel Servet fellowship (Grant CP19/00183) funded by Accion Estrategica de Salud-Instituto de Salud Carlos III, co-funded by European Social Fund Investing in your future. ISGlobal acknowledges support from the Spanish Ministry of Science and Innovation through the Centro de Excelencia Severo Ochoa 2019-2023 Program (CEX2018-000806-S), and support from the Generalitat de Catalunya through the CERCA Program. TE was funded by the European Union's Horizon 2020 research and innovation programme under Grant Agreement No. 856612 and the Cyprus Government.</t>
  </si>
  <si>
    <t>NATURE PORTFOLIO</t>
  </si>
  <si>
    <t>BERLIN</t>
  </si>
  <si>
    <t>HEIDELBERGER PLATZ 3, BERLIN, 14197, GERMANY</t>
  </si>
  <si>
    <t>2045-2322</t>
  </si>
  <si>
    <t>SCI REP-UK</t>
  </si>
  <si>
    <t>Sci Rep</t>
  </si>
  <si>
    <t>MAR 6</t>
  </si>
  <si>
    <t>10.1038/s41598-023-28544-w</t>
  </si>
  <si>
    <t>Multidisciplinary Sciences</t>
  </si>
  <si>
    <t>Science &amp; Technology - Other Topics</t>
  </si>
  <si>
    <t>G5DT0</t>
  </si>
  <si>
    <t>WOS:000989365600009</t>
  </si>
  <si>
    <t>how subjective well-being is determined by environment type and quality</t>
  </si>
  <si>
    <t>Repeat Cross-sectional (over four seasons)</t>
  </si>
  <si>
    <t>18 countries</t>
  </si>
  <si>
    <t>Kovalenko, KE; Bini, LM; Johnson, LB; Wick, MJ</t>
  </si>
  <si>
    <t>Kovalenko, Katya E. E.; Bini, Luis Mauricio; Johnson, Lucinda B. B.; Wick, Molly J. J.</t>
  </si>
  <si>
    <t>Inequality in aquatic ecosystem services</t>
  </si>
  <si>
    <t>HYDROBIOLOGIA</t>
  </si>
  <si>
    <t>Inequity; Natural assets; Poverty alleviation; Aquatic ecosystem services; Social justice</t>
  </si>
  <si>
    <t>ENVIRONMENTAL JUSTICE; CLIMATE-CHANGE; WATER-QUALITY; GREEN SPACES; SOCIOECONOMIC VULNERABILITY; FOOD SECURITY; HUMAN HEALTH; BIODIVERSITY; BENEFITS; POVERTY</t>
  </si>
  <si>
    <t>Multiple aquatic ecosystem services (ES) sustain humanity, but some of them may not be equitably accessible to all people. We take a transdisciplinary approach to recent literature to highlight some of the inequalities specific to aquatic ecosystems, focusing on provisioning, supporting and cultural aquatic ES. We also explore feedbacks between access to ES, awareness, and public support for those services. Without targeted interventions, inequality in aquatic ecosystem service delivery is likely to continue to increase with the projected increase in wealth gaps, increasing global trade insensitive to local values, decreasing awareness of ES availability, and increasing urban population without access to green and blue spaces. We conclude by highlighting examples of potential research needs, emphasizing that systematic assessment of inequality is the first step in seeking equitable access to ES and ensuring continuing public support for protection of aquatic ecosystems.</t>
  </si>
  <si>
    <t>[Kovalenko, Katya E. E.; Johnson, Lucinda B. B.; Wick, Molly J. J.] Univ Minnesota, Nat Resources Res Inst, 5013 Miller Trunk Highway, Duluth 55811, MN USA; [Bini, Luis Mauricio] Univ Fed Goias, Dept Ecol, ICB, BR-74690900 Goiania, GO, Brazil</t>
  </si>
  <si>
    <t>University of Minnesota System; University of Minnesota Duluth; Universidade Federal de Goias</t>
  </si>
  <si>
    <t>Kovalenko, KE (corresponding author), Univ Minnesota, Nat Resources Res Inst, 5013 Miller Trunk Highway, Duluth 55811, MN USA.</t>
  </si>
  <si>
    <t>ekovalen@d.umn.edu</t>
  </si>
  <si>
    <t>Kovalenko, Katya/0000-0001-7363-212X</t>
  </si>
  <si>
    <t>State Special funds from the Natural Resources Research Institute, University of Minnesota Duluth; Conselho Nacional de Desenvolvimento Cientifico e Tecnologico (CNPq) [308974/2020-4, 465610/2014-5]</t>
  </si>
  <si>
    <t>State Special funds from the Natural Resources Research Institute, University of Minnesota Duluth; Conselho Nacional de Desenvolvimento Cientifico e Tecnologico (CNPq)(Conselho Nacional de Desenvolvimento Cientifico e Tecnologico (CNPQ))</t>
  </si>
  <si>
    <t>KEK is supported by the State Special funds from the Natural Resources Research Institute, University of Minnesota Duluth. LMB is supported by research grants from the Conselho Nacional de Desenvolvimento Cientifico e Tecnologico (CNPq no 308974/2020-4 and 465610/2014-5).</t>
  </si>
  <si>
    <t>SPRINGER</t>
  </si>
  <si>
    <t>DORDRECHT</t>
  </si>
  <si>
    <t>VAN GODEWIJCKSTRAAT 30, 3311 GZ DORDRECHT, NETHERLANDS</t>
  </si>
  <si>
    <t>0018-8158</t>
  </si>
  <si>
    <t>1573-5117</t>
  </si>
  <si>
    <t>Hydrobiologia</t>
  </si>
  <si>
    <t>12-13</t>
  </si>
  <si>
    <t>SI</t>
  </si>
  <si>
    <t>10.1007/s10750-023-05165-y</t>
  </si>
  <si>
    <t>FEB 2023</t>
  </si>
  <si>
    <t>Marine &amp; Freshwater Biology</t>
  </si>
  <si>
    <t>J2KJ6</t>
  </si>
  <si>
    <t>WOS:000940254100001</t>
  </si>
  <si>
    <t>S</t>
  </si>
  <si>
    <t>In equalities of ecosystem services provided by blue space</t>
  </si>
  <si>
    <t>Literature review</t>
  </si>
  <si>
    <t>Descriptive/Analytical</t>
  </si>
  <si>
    <t>Review</t>
  </si>
  <si>
    <t>Kasdagli, MI; Katsouyanni, K; de Hoogh, K; Zafeiratou, S; Dimakopoulou, K; Samoli, E</t>
  </si>
  <si>
    <t>Kasdagli, Maria-Iosifina; Katsouyanni, Klea; de Hoogh, Kees; Zafeiratou, Sofia; Dimakopoulou, Konstantina; Samoli, Evangelia</t>
  </si>
  <si>
    <t>Associations between exposure to blue spaces and natural and cause-specific mortality in Greece: An ecological study</t>
  </si>
  <si>
    <t>INTERNATIONAL JOURNAL OF HYGIENE AND ENVIRONMENTAL HEALTH</t>
  </si>
  <si>
    <t>Blue space; Ecological study; Greenness; Air pollution; Mortality</t>
  </si>
  <si>
    <t>AIR-POLLUTION; RESIDENTIAL GREEN; PHYSICAL-ACTIVITY; HEALTH-BENEFITS; MENTAL-HEALTH; OBESITY; SEA; ENVIRONMENTS; METAANALYSIS; OUTDOORS</t>
  </si>
  <si>
    <t>Background: A growing body of evidence suggests that exposure to natural environments, such as green space, may have a beneficial role in health. However, there is limited evidence regarding the effects of exposure to blue spaces and mortality. We investigated the association of exposure to blue spaces with natural and cause-specific mortality in Greece using an ecological study design Methods: Mortality and socioeconomic data were obtained from 1,035 municipal units (MUs) from the 2011 census data. To define exposure to blue we used a rate of the land cover categories related to blue space from the COoRdination and INformation on the Environmental (CORINE) 2012 map per 10,000 persons in the municipal unit. We further assessed the exposure to blue space in the MUs that are located in the coastline of Greece using the distance to the coast as a proxy for proximity to blue space. the Annual PM2.5, NO2, BC and O3 concentrations for 2010 were predicted by land use regression models while the normalized difference vegetation index was used to assess greenness. We applied single and two exposure Poisson regression models accounting for spatial autocorrelation and adjusting for unemployment and lung cancer mortality rates, percentages of the population aged 25-64 with upper secondary or tertiary education attainment and of those born in Greece, and urbanicity. The analysis was conducted for the whole country and separately by varying geographical definitions.Results: An interquartile range (IQR) increase of blue space per 10,000 persons was associated with decreased risk in natural mortality (Relative Risk (RR): 0.98 (95% confidence interval (CI): 0.98, 0.99), as well as in mortality due to cardiovascular causes, respiratory causes and diseases of the nervous system 0.98 (95% CI: 0.97, 0.99); 0.97 (95% CI: 0.95, 0.99); 0.94 (95% CI: 0.88, 1.00) respectively). We estimated protective associations for ischemic heart disease (IHD) mortality (RR = 0.98, 95% CI: 0.97, 1.00 per IQR); COPD mortality (RR = 0.97, 95% CI: 0.93, 1.00 per IQR) and mortality from cerebrovascular disease (RR = 0.97 (95% CI: 0.96, 0.99 per IQR). We estimated protective associations for the distance from the coast and mortality from the diseases of the nervous system (RR = 0.75, 95% CI: 0.61, 0.92, &lt;= 1 km from the coast versus &gt;1 km). Our results were stronger for inhabitants of the islands, the coastline and in the rural areas of Greece while the estimates were robust to coexposure adjustment. Conclusions: We estimated statistically significant protective effects of exposure to blue space on mortality from natural, cardiovascular and respiratory causes, diseases of the nervous system, cerebrovascular and ischemic heart disease for in Greece with higher estimates in the coastline and the islands. Further research is needed to elaborate our findings.</t>
  </si>
  <si>
    <t>[Kasdagli, Maria-Iosifina; Katsouyanni, Klea; Zafeiratou, Sofia; Dimakopoulou, Konstantina; Samoli, Evangelia] Natl &amp; Kapodistrian Univ Athens, Sch Med, Dept Hyg Epidemiol &amp; Med Stat, Athens, Greece; [Katsouyanni, Klea] Imperial Coll, MRC Ctr Environm &amp; Hlth, Environm Res Grp, London, England; [de Hoogh, Kees] Swiss Trop &amp; Publ Hlth Inst, Allschwil, Switzerland; [de Hoogh, Kees] Univ Basel, Basel, Switzerland; [Kasdagli, Maria-Iosifina] Natl &amp; Kapodistrian Univ Athens, Med Sch, Dept Hyg Epidemiol &amp; Med Stat, 75 Mikras St, Athens 11527, Greece</t>
  </si>
  <si>
    <t>Athens Medical School; National &amp; Kapodistrian University of Athens; Imperial College London; University of Basel; Swiss Tropical &amp; Public Health Institute; University of Basel; National &amp; Kapodistrian University of Athens</t>
  </si>
  <si>
    <t>Kasdagli, MI (corresponding author), Natl &amp; Kapodistrian Univ Athens, Med Sch, Dept Hyg Epidemiol &amp; Med Stat, 75 Mikras St, Athens 11527, Greece.</t>
  </si>
  <si>
    <t>kasdaglimar@med.uoa.gr</t>
  </si>
  <si>
    <t>; Katsouyanni, Klea/D-4856-2014</t>
  </si>
  <si>
    <t>de Hoogh, Kees/0000-0001-5974-2007; Katsouyanni, Klea/0000-0002-0132-9575</t>
  </si>
  <si>
    <t>1438-4639</t>
  </si>
  <si>
    <t>1618-131X</t>
  </si>
  <si>
    <t>INT J HYG ENVIR HEAL</t>
  </si>
  <si>
    <t>Int. J. Hyg. Environ. Health.</t>
  </si>
  <si>
    <t>APR</t>
  </si>
  <si>
    <t>10.1016/j.ijheh.2023.114137</t>
  </si>
  <si>
    <t>Public, Environmental &amp; Occupational Health; Infectious Diseases</t>
  </si>
  <si>
    <t>9S4GP</t>
  </si>
  <si>
    <t>WOS:000946300700001</t>
  </si>
  <si>
    <t>S/P</t>
  </si>
  <si>
    <t>Mortality and blue exposure</t>
  </si>
  <si>
    <t>Mortality</t>
  </si>
  <si>
    <t>Cross-section (annual census data)</t>
  </si>
  <si>
    <t>Astell-Burt, T; Hipp, JA; Gatersleben, B; Adlakha, D; Marselle, M; Olcon, K; Pappas, E; Kondo, M; Booth, G; Bacon, S; Lem, M; Francois, M; Halcomb, E; Moxham, L; Davidson, P; Feng, XQ</t>
  </si>
  <si>
    <t>Astell-Burt, Thomas; Hipp, J. Aaron; Gatersleben, Birgitta; Adlakha, Deepti; Marselle, Melissa; Olcon, Katarzyna; Pappas, Evangelos; Kondo, Michelle; Booth, Gillian; Bacon, Simon; Lem, Melissa; Francois, Monique; Halcomb, Elizabeth; Moxham, Lorna; Davidson, Patricia; Feng, Xiaoqi</t>
  </si>
  <si>
    <t>Need and Interest in Nature Prescriptions to Protect Cardiovascular and Mental Health: A Nationally-Representative Study With Insights for Future Randomised Trials</t>
  </si>
  <si>
    <t>HEART LUNG AND CIRCULATION</t>
  </si>
  <si>
    <t>Nature; Prevention; Management; Cardiovascular health; Mental health</t>
  </si>
  <si>
    <t>Objective Nature prescriptions are increasingly being adopted by health sectors as an adjunct to standard care to attend to health and social needs. We investigated levels of need and interest in nature prescriptions in adults with cardiovascular diseases, psychological distress and concomitants (e.g. physical inactivity, sedentary behaviour, obesity, loneliness, burn-out). Methods A nationally-representative survey of 3,319 adults across all states and territories of Australia was completed in February 2021 (response 84.0%). Participants were classified across 15 target groups using validated health indicators and surveyed on (1) time and frequency of visits to green and blue spaces (nature spaces), (2) interest in a nature prescription, and (3) potential confounders (e.g. age, income). Analyses were done using weighted logistic regressions. Results The sample was 50.5% female, 52.0% were aged &gt;45 years, 15.2% were living alone and 19.3% were born overseas in non-English-speaking countries. Two-thirds of the sample spent 2 hours or more a week in nature, but these levels were generally lower in target groups (e.g. 57.7% in adults with type 2 diabetes). Most participants (81.9%) were interested in a nature prescription, even among those spending fewer than 2 hours a week in nature (76.4%). For example, 2 hours a week or more in nature was lowest among sedentary adults (36.9%) yet interest in nature prescriptions in this group was still high (74.0%). Lower levels of nature contact in target groups was not explained by differences in access to or preference for local nature spaces. Conclusions High levels of interest in nature prescriptions amid low levels of nature contact in many target health groups provides impetus for developing randomised trials of interventions that enable people to spend more time in nature. These findings can inform intervention co-design processes with a wide range of community stakeholders, end-users in target health groups, and the health professionals who support them.</t>
  </si>
  <si>
    <t>[Astell-Burt, Thomas; Olcon, Katarzyna] Univ Wollongong, Sch Hlth &amp; Soc, Wollongong, NSW, Australia; [Astell-Burt, Thomas; Feng, Xiaoqi] Populat Wellbeing &amp; Environm Res Lab PowerLab, Sydney, NSW, Australia; [Hipp, J. Aaron] NC State Univ, Ctr Geospatial Analyt, Dept Pk Recreat &amp; Tourism Management, Raleigh, NC USA; [Gatersleben, Birgitta; Marselle, Melissa] Univ Surrey, Sch Psychol, Environm Psychol Res Grp, Guildford, England; [Adlakha, Deepti] NC State Univ, Coll Design, Dept Landscape Architecture &amp; Environm Planning, Nat Learning Initiat, Raleigh, NC USA; [Pappas, Evangelos; Francois, Monique] Univ Wollongong, Sch Med, Wollongong, NSW, Australia; [Kondo, Michelle] USDA Forest Serv, Northern Res Stn, Philadelphia Field Stn, Philadelphia, PA USA; [Booth, Gillian] St Michaels Hosp, Li Ka Shing Knowledge Inst, MAP Ctr Urban Hlth Solut, Toronto, ON, Canada; [Bacon, Simon] CIUSSS Nord de Ile de Montreal, Montreal Behav Med Ctr, Montreal, PQ, Canada; [Bacon, Simon] Concordia Univ, Dept Hlth Kinesiol &amp; Appl Physiol, Montreal, PQ, Canada; [Lem, Melissa] Univ British Columbia, Dept Family Practice, Vancouver, BC, Canada; [Francois, Monique] Illawarra Hlth &amp; Med Res Inst, Wollongong, NSW, Australia; [Halcomb, Elizabeth; Moxham, Lorna] Univ Wollongong, Sch Nursing, Wollongong, NSW, Australia; [Moxham, Lorna] Univ Wollongong, Australian Hlth Serv Res Inst, Wollongong, NSW, Australia; [Davidson, Patricia] Univ Wollongong, Vice Chancellors Unit PMD, Wollongong, NSW, Australia; [Feng, Xiaoqi] UNSW, Fac Med &amp; Hlth, Sch Populat Hlth, Sydney, NSW, Australia; [Feng, Xiaoqi] George Inst Global Hlth, Sydney, NSW, Australia</t>
  </si>
  <si>
    <t>University of Wollongong; North Carolina State University; University of Surrey; North Carolina State University; University of Wollongong; United States Department of Agriculture (USDA); United States Forest Service; University of Toronto; Li Ka Shing Knowledge Institute; Saint Michaels Hospital Toronto; Universite de Montreal; Concordia University - Canada; University of British Columbia; University of Wollongong; University of Wollongong; University of Wollongong; University of Wollongong; University of New South Wales Sydney; George Institute for Global Health; University of Sydney</t>
  </si>
  <si>
    <t>Feng, XQ (corresponding author), UNSW, Fac Med &amp; Hlth, Sch Populat Hlth, Sydney, NSW, Australia.;Astell-Burt, T (corresponding author), Univ Wollongong, Fac Arts Social Sci &amp; Humanities, Sch Hlth &amp; Soc, Wollongong, NSW 2522, Australia.</t>
  </si>
  <si>
    <t>thomasab@uow.edu.au; xiaoqi.feng@unsw.edu.au</t>
  </si>
  <si>
    <t>Halcomb, Elizabeth/B-6526-2011; Pappas, Evangelos/A-4467-2008</t>
  </si>
  <si>
    <t>Halcomb, Elizabeth/0000-0001-8099-986X; Marselle, Melissa/0000-0002-3245-7473; Pappas, Evangelos/0000-0002-8340-0303; Adlakha, Deepti/0000-0002-1720-6780; Francois, Monique/0000-0001-9518-0750; Hipp, J. Aaron/0000-0002-2394-7112; Davidson, Patricia M./0000-0003-2050-1534; Gatersleben, Birgitta/0000-0002-5841-0577; Kondo, Michelle/0000-0001-9152-1589</t>
  </si>
  <si>
    <t>Green Cities Fund - Hort Innovation Limited.; University Global Partnership Network (UGPN); National Health and Medical Research Council Boosting Dementia Research Leader Fellowship [GNT1140317]; National Health and Medical Research Council Career Development Fellowship [GNT1148792]</t>
  </si>
  <si>
    <t>Green Cities Fund - Hort Innovation Limited.; University Global Partnership Network (UGPN); National Health and Medical Research Council Boosting Dementia Research Leader Fellowship(National Health and Medical Research Council (NHMRC) of Australia); National Health and Medical Research Council Career Development Fellowship(National Health and Medical Research Council (NHMRC) of Australia)</t>
  </si>
  <si>
    <t>The study was supported by the Green Cities Fund - Hort Innovation Limited, with coinvestment from the University &amp; nbsp;of Wollongong Faculty of Arts, Social Sciences and Humanities, the University of Wollongong Global Challenges initiative, and the Australian Government (project GC15005 Greener Cities, Healthier Lives). The study was also supported by a University Global Partnership Network (UGPN) grant called Less Netflix, More Nature!Astell-Burt was supported by a National Health and Medical Research Council Boosting Dementia Research Leader Fellowship(GNT1140317). Feng was support by a National Health and Medical Research Council Career Development Fellowship(GNT1148792). The funding sources had no role in the designand conduct of the study; collection, management, analysis, and interpretation of the data; preparation, review, orapproval of the manuscript; and the decision to submit the manuscript for publication</t>
  </si>
  <si>
    <t>ELSEVIER SCIENCE INC</t>
  </si>
  <si>
    <t>NEW YORK</t>
  </si>
  <si>
    <t>STE 800, 230 PARK AVE, NEW YORK, NY 10169 USA</t>
  </si>
  <si>
    <t>1443-9506</t>
  </si>
  <si>
    <t>1444-2892</t>
  </si>
  <si>
    <t>HEART LUNG CIRC</t>
  </si>
  <si>
    <t>Heart Lung Circ.</t>
  </si>
  <si>
    <t>JAN</t>
  </si>
  <si>
    <t>10.1016/j.hlc.2022.11.008</t>
  </si>
  <si>
    <t>Cardiac &amp; Cardiovascular Systems</t>
  </si>
  <si>
    <t>Cardiovascular System &amp; Cardiology</t>
  </si>
  <si>
    <t>K8MT8</t>
  </si>
  <si>
    <t>Green Submitted</t>
  </si>
  <si>
    <t>WOS:001018931000001</t>
  </si>
  <si>
    <t>Green and blue space exposure</t>
  </si>
  <si>
    <t>Online surveys and telephone interviews</t>
  </si>
  <si>
    <t>National case</t>
  </si>
  <si>
    <t>quantitative</t>
  </si>
  <si>
    <t>Grzyb, T; Kulczyk, S</t>
  </si>
  <si>
    <t>Grzyb, Tomasz; Kulczyk, Sylwia</t>
  </si>
  <si>
    <t>How do ephemeral factors shape recreation along the urban river? A social media perspective</t>
  </si>
  <si>
    <t>Urban Blue Spaces; Riverfronts; Vistula; Instagram; Recreation; Landscape structure</t>
  </si>
  <si>
    <t>CULTURAL ECOSYSTEM SERVICES; HUMAN HEALTH; OUTDOOR RECREATION; BLUE SPACE; WEATHER; TOURISM; AREAS; PARKS</t>
  </si>
  <si>
    <t>Urban Blue Spaces provide multiple benefits to city dwellers and, therefore, are a key element in the socialecological system. To responsibly maximise these benefits, it is necessary to link data and knowledge on the social and ecological functions of the urban ecosystem. This paper aims to identify recreational use intensity patterns of urban riverfronts along the Vistula river in Warsaw, Poland. The landscape mosaic model was used to identify differences along the urban core-periphery axis, and explore disparities induced by the variety of riverfront functions. Recreational demand for the river was assessed by measuring the daily activity of Instagram users in 2019. The short-term perspective we applied allowed us to examine the role of several ephemeral factors on the variability of use intensity. Our results indicate that both the position along the core-periphery axis, and the social-ecological characteristics of urban riverfronts can shape seasonal patterns of use intensity. Overall, Instagram users concentrate their activity in the city centre. Seasonal fluctuations are found across the mosaic of Warsaw's riverscape, due to both its ecological (level of naturalness) and social (recreation versus 'entertainment machine') functions. Ephemeral factors shape recreational patterns in various ways: (1) fine weather attracts Instagram users more than unfavourable conditions discourage them; (2) demand for 'pure' riverine nature is independent of all of the proposed factors; and (3) the relationship between air quality and use intensity is weak.</t>
  </si>
  <si>
    <t>[Grzyb, Tomasz; Kulczyk, Sylwia] Univ Warsaw, Fac Geog &amp; Reg Studies, Krakowskie Przedmiescie 30, PL-00927 Warsaw, Poland</t>
  </si>
  <si>
    <t>University of Warsaw</t>
  </si>
  <si>
    <t>Grzyb, T (corresponding author), Univ Warsaw, Fac Geog &amp; Reg Studies, Krakowskie Przedmiescie 30, PL-00927 Warsaw, Poland.</t>
  </si>
  <si>
    <t>t.grzyb@student.uw.edu.pl; skulczyk@uw.edu.pl</t>
  </si>
  <si>
    <t>Narodowe Centrum Nauki, Poland [2018/31/B/HS4/01381]</t>
  </si>
  <si>
    <t>Narodowe Centrum Nauki, Poland(National Science Centre, Poland)</t>
  </si>
  <si>
    <t>This work was supported by the Narodowe Centrum Nauki, Poland, under grant No. 2018/31/B/HS4/01381 entitled ? Spatial diversity of cultural ecosystem services flow in a large city. Naturally nature? ? . The authors would like to thank Mariola Pie ? nkowska, Manager of the TI Department in Warsaw Tourist Office, for providing information about number of tourists visiting TI points. We are also much obliged to the two anonymous reviewers for their insightful comments and suggestions.</t>
  </si>
  <si>
    <t>FEB</t>
  </si>
  <si>
    <t>10.1016/j.lurbplan.2022.104638</t>
  </si>
  <si>
    <t>6Y4KT</t>
  </si>
  <si>
    <t>WOS:000897066300002</t>
  </si>
  <si>
    <t>Blue space use based on ephemeral characterisitcs</t>
  </si>
  <si>
    <t xml:space="preserve">Social media (Instagram) </t>
  </si>
  <si>
    <t>cross-sectional (annual 2019)</t>
  </si>
  <si>
    <t>Poland</t>
  </si>
  <si>
    <t>Gobster, PH; Kruger, LE; Schultz, CL; Henderson, JR</t>
  </si>
  <si>
    <t>Gobster, Paul H.; Kruger, Linda E.; Schultz, Courtney L.; Henderson, John R.</t>
  </si>
  <si>
    <t>Key Characteristics of Forest Therapy Trails: A Guided, Integrative Approach</t>
  </si>
  <si>
    <t>FORESTS</t>
  </si>
  <si>
    <t>forest therapy; forest bathing; forest trails; forest therapy guides and practitioners; integrative review; key characteristics</t>
  </si>
  <si>
    <t>VISUAL LANDSCAPE QUALITY; OUTDOOR RECREATION; SCENIC-BEAUTY; PLACE ATTACHMENT; AESTHETIC EXPERIENCE; PUBLIC PREFERENCES; URBAN GREENWAYS; NATURES BEAUTY; BLUE SPACE; SOUNDSCAPE</t>
  </si>
  <si>
    <t>Forest therapy is an emerging holistic health practice that uses multisensory immersive engagements in forest settings to achieve health and wellbeing outcomes. Many forest therapy engagements take place via slow walks along a trail to optimally experience the array of sensory phenomena afforded along the route, yet surprisingly few forest therapy studies to date have investigated the characteristics of forest sites and trails that give rise to healthful experiences. In this research, we employ a hybrid approach to understand the conditions and features that contribute to a good forest therapy trail, using interviews with forest therapy guides to identify and highlight concepts for further refinement and structuring via a broad, integrative review of the relevant research and planning literature. Through this iterative approach, we identify and describe three site-related criteria (landscape character and quality, tranquility, and accessibility) and two trail-related criteria (design and construction and key features and qualities), each with a number of sub-criteria detailing specific conditions and considerations. This effort helps build a conceptual foundation and evidence base for assessment procedures that can be used to identify existing trails and design new ones that meet the needs of forest planners, managers, guides, and participants for the growing international practice of forest therapy.</t>
  </si>
  <si>
    <t>[Gobster, Paul H.] US Forest Serv, Northern Res Stn, USDA, 1033 Univ Pl,Ste 360, Evanston, IL 60201 USA; [Kruger, Linda E.] US Forest Serv, Pacific Northwest Res Stn, USDA, 11175 Auke Lake Way, Juneau, AK 99801 USA; [Schultz, Courtney L.] Hlth &amp; Technol Partners LLC, Milwaukee, WI 53202 USA; [Henderson, John R.] Greenspaces DC, 1102 Monroe St NW, Washington, DC 20010 USA</t>
  </si>
  <si>
    <t>United States Department of Agriculture (USDA); United States Forest Service; United States Department of Agriculture (USDA); United States Forest Service</t>
  </si>
  <si>
    <t>Gobster, PH (corresponding author), US Forest Serv, Northern Res Stn, USDA, 1033 Univ Pl,Ste 360, Evanston, IL 60201 USA.</t>
  </si>
  <si>
    <t>paul.gobster@usda.gov</t>
  </si>
  <si>
    <t>1999-4907</t>
  </si>
  <si>
    <t>Forests</t>
  </si>
  <si>
    <t>10.3390/f14020186</t>
  </si>
  <si>
    <t>Forestry</t>
  </si>
  <si>
    <t>9H9TQ</t>
  </si>
  <si>
    <t>WOS:000939166200001</t>
  </si>
  <si>
    <t>Forest exposure and drivers of well-being (biodiversity as a metric)</t>
  </si>
  <si>
    <t>Interviews with forest therapy guides</t>
  </si>
  <si>
    <t>Case</t>
  </si>
  <si>
    <t>Turunen, AW; Halonen, J; Korpela, K; Ojala, A; Pasanen, T; Siponen, T; Tiittanen, P; Tyrvainen, L; Yli-Tuomi, T; Lanki, T</t>
  </si>
  <si>
    <t>Turunen, Anu W.; Halonen, Jaana; Korpela, Kalevi; Ojala, Ann; Pasanen, Tytti; Siponen, Taina; Tiittanen, Pekka; Tyrvainen, Liisa; Yli-Tuomi, Tarja; Lanki, Timo</t>
  </si>
  <si>
    <t>Cross-sectional associations of different types of nature exposure with psychotropic, antihypertensive and asthma medication</t>
  </si>
  <si>
    <t>OCCUPATIONAL AND ENVIRONMENTAL MEDICINE</t>
  </si>
  <si>
    <t>Epidemiology; Public health; Environment; Cross-Sectional Studies</t>
  </si>
  <si>
    <t>GREEN SPACES; BLUE SPACES; HEALTH; BENEFITS; OBESITY; ADULTS</t>
  </si>
  <si>
    <t>BackgroundExposure to natural environments is thought to be beneficial for human health, but the evidence is inconsistent. ObjectiveTo examine whether exposure to green and blue spaces in urban environments is associated with mental and physical health in Finland. MethodsThe Helsinki Capital Region Environmental Health Survey was conducted in 2015-2016 in Helsinki, Espoo and Vantaa in Finland (n=7321). Cross-sectional associations of the amounts of residential green and blue spaces within 1 km radius around the respondent's home (based on the Urban Atlas 2012), green and blue views from home and green space visits with self-reported use of psychotropic (anxiolytics, hypnotics and antidepressants), antihypertensive and asthma medication were examined using logistic regression models. Indicators of health behaviour, traffic-related outdoor air pollution and noise and socioeconomic status (SES) were used as covariates, the last of these also as a potential effect modifier. ResultsAmounts of residential green and blue spaces or green and blue views from home were not associated with medications. However, the frequency of green space visits was associated with lower odds of using psychotropic medication (OR=0.67, 95% CI 0.55 to 0.82 for 3-4 times/week; 0.78, 0.63 to 0.96 for &gt;= 5 times/week) and antihypertensive (0.64, 0.52 to 0.78; 0.59, 0.48 to 0.74, respectively) and asthma (0.74, 0.58 to 0.94; 0.76, 0.59 to 0.99, respectively) medication use. The observed associations were attenuated by body mass index, but no consistent interactions with SES indicators were observed. ConclusionsFrequent green space visits, but not the amounts of residential green or blue spaces, or green and blue views from home, were associated with less frequent use of psychotropic, antihypertensive and asthma medication in urban environments.</t>
  </si>
  <si>
    <t>[Turunen, Anu W.; Pasanen, Tytti; Siponen, Taina; Tiittanen, Pekka; Yli-Tuomi, Tarja; Lanki, Timo] Finnish Inst Hlth &amp; Welf, Dept Hlth Secur, Kuopio, Finland; [Halonen, Jaana] Finnish Inst Hlth &amp; Welf, Dept Hlth Secur, Helsinki, Finland; [Korpela, Kalevi] Tampere Univ, Fac Social Sci Psychol, Tampere, Finland; [Ojala, Ann; Tyrvainen, Liisa] Nat Resources Inst, Bioecon &amp; Environm, Helsinki, Finland; [Lanki, Timo] Univ Eastern Finland, Dept Environm &amp; Biol Sci, Kuopio, Finland; [Lanki, Timo] Univ Eastern Finland, Sch Med, Kuopio, Finland</t>
  </si>
  <si>
    <t>Tampere University; Natural Resources Institute Finland (Luke); University of Eastern Finland; University of Eastern Finland</t>
  </si>
  <si>
    <t>Turunen, AW (corresponding author), Finnish Inst Hlth &amp; Welf, Dept Hlth Secur, Kuopio, Finland.</t>
  </si>
  <si>
    <t>anu.turunen@thl.fi</t>
  </si>
  <si>
    <t>Ojala, Ann/0000-0002-8557-8842; Korpela, Kalevi/0000-0001-5529-5799</t>
  </si>
  <si>
    <t>BMJ PUBLISHING GROUP</t>
  </si>
  <si>
    <t>LONDON</t>
  </si>
  <si>
    <t>BRITISH MED ASSOC HOUSE, TAVISTOCK SQUARE, LONDON WC1H 9JR, ENGLAND</t>
  </si>
  <si>
    <t>1351-0711</t>
  </si>
  <si>
    <t>1470-7926</t>
  </si>
  <si>
    <t>OCCUP ENVIRON MED</t>
  </si>
  <si>
    <t>Occup. Environ. Med.</t>
  </si>
  <si>
    <t>10.1136/oemed-2022-108491</t>
  </si>
  <si>
    <t>Public, Environmental &amp; Occupational Health</t>
  </si>
  <si>
    <t>8G0WO</t>
  </si>
  <si>
    <t>WOS:000920072700008</t>
  </si>
  <si>
    <t>How physical and mental health treatements change with urban exposure and green space visits</t>
  </si>
  <si>
    <t>Yes (urban atlas)</t>
  </si>
  <si>
    <t>Self-administered Questionnaire</t>
  </si>
  <si>
    <t>cross-section</t>
  </si>
  <si>
    <t>Finland</t>
  </si>
  <si>
    <t>Zhang, J; Yang, Z; Sun, YX; Xu, ZH; Hui, TF; Guo, P</t>
  </si>
  <si>
    <t>Zhang, Jie; Yang, Zhi; Sun, Yuxiang; Xu, Zhihui; Hui, Tengfei; Guo, Peng</t>
  </si>
  <si>
    <t>Experiencing urban forests for mitigation of negative emotions of people exposed to seasonal PM2.5 in Northeast China</t>
  </si>
  <si>
    <t>JOURNAL OF FORESTRY RESEARCH</t>
  </si>
  <si>
    <t>Article; Early Access</t>
  </si>
  <si>
    <t>Urban forest park; Mental health and well-being; Green and blue infrastructures; Sustainable urban forests</t>
  </si>
  <si>
    <t>Experiencing urban green and blue spaces (GBSs) can be a nature-based solution to improve mental well-being and cope with negative moods for people exposed to PM2.5 pollution. In this study, a total of 1257 photos were collected to recognize their posted emotions of Sina Weibo users from 38 parks in 22 cities in Northeast China in 2021, when atmospheric PM2.5 and landscape metrics were evaluated for GBSs of each park. Autumn and winter had heavy atmospheric PM2.5 pollutions in resource-dependent cities of Liaoning. Net positive emotions (happy minus sad scores) decreased in larger green spaces. The perception of blue space countered the presentation of sadness only for a limited period over four seasons. High elevation decreased the level of happiness presented in winter. Overall, this study confirms that visiting large urban green spaces at low elevations can benefit the perception of positive sentiments for people exposed to PM2.5 in autumn. For planning urban forests in Northeast China, more green spaces should be constructed in cities in southern Jilin province to alleviate air PM2.5 pollution and gain better well-being of local people.</t>
  </si>
  <si>
    <t>[Zhang, Jie; Yang, Zhi; Xu, Zhihui; Hui, Tengfei] Beihua Univ, Forestry Coll, Jilin 132103, Peoples R China; [Sun, Yuxiang] Jilin Univ, Sch Business &amp; Management, Dept Human Resources Management, Changchun 130021, Peoples R China; [Guo, Peng] Dalian Minzu Univ, Environm &amp; Resources Coll, Dalian 116600, Peoples R China</t>
  </si>
  <si>
    <t>Beihua University; Jilin University; Dalian Minzu University</t>
  </si>
  <si>
    <t>Yang, Z (corresponding author), Beihua Univ, Forestry Coll, Jilin 132103, Peoples R China.;Guo, P (corresponding author), Dalian Minzu Univ, Environm &amp; Resources Coll, Dalian 116600, Peoples R China.</t>
  </si>
  <si>
    <t>reallycoolyz@sohu.com; gp@dlnu.edu.cn</t>
  </si>
  <si>
    <t>NORTHEAST FORESTRY UNIV</t>
  </si>
  <si>
    <t>HARBIN</t>
  </si>
  <si>
    <t>NO 26 HEXING RD, XIANGFANG DISTRICT, HARBIN, 150040, PEOPLES R CHINA</t>
  </si>
  <si>
    <t>1007-662X</t>
  </si>
  <si>
    <t>1993-0607</t>
  </si>
  <si>
    <t>J FORESTRY RES</t>
  </si>
  <si>
    <t>J. For. Res.</t>
  </si>
  <si>
    <t>2023 JAN 16</t>
  </si>
  <si>
    <t>10.1007/s11676-022-01595-x</t>
  </si>
  <si>
    <t>JAN 2023</t>
  </si>
  <si>
    <t>8B4JA</t>
  </si>
  <si>
    <t>WOS:000916889400001</t>
  </si>
  <si>
    <t>Green and blue space visits over four seasons</t>
  </si>
  <si>
    <t>Yes (Geotagged images and GBS ratio)</t>
  </si>
  <si>
    <t>Social media photos and environmental factors</t>
  </si>
  <si>
    <t>Falfan, I; Zambrano, L</t>
  </si>
  <si>
    <t>Falfan, Ina; Zambrano, Luis</t>
  </si>
  <si>
    <t>Lacustrine Urban Blue Spaces: Low Availability and Inequitable Distribution in the Most Populated Cities in Mexico</t>
  </si>
  <si>
    <t>aquatic ecosystems; inequitable distribution; urban lakes; urban ecology; urban water bodies; Mexican cities</t>
  </si>
  <si>
    <t>CULTURAL ECOSYSTEM SERVICES; GREEN SPACE; GOLF-COURSES; HEALTH; WETLANDS; JUSTICE; CHALLENGE; LANDSCAPE; TOURISM; LAKE</t>
  </si>
  <si>
    <t>Lacustrine blue spaces provide benefits to the urbanites and wildlife habitat. Their availability varies depending on the city in which they are established and intra-urban social interactions. We analyzed the presence, distribution, and size of lentic water bodies in Mexico's 145 most populated cities. We searched for patterns in their distribution concerning demographic, socioeconomic, and geographic data, aiming to understand their socio-ecological interactions in cities. We digitized lacustrine spaces to obtain their number per city, total surface, area of blue space per inhabitant, and surface as a percentage of the city's total area. We tested for relationships between their number and surface and city population, hydrological regions, and urban marginalization index through linear and generalized linear models. We delimited 1834 lacustrine blue spaces, finding almost two-thirds of them artificial. Their presence and surface in Mexican cities were generally low, except for hydrological regions close to the Gulf of Mexico. Their number and surface decreased as the urban marginalization index increased. The lack of equitable provision of lacustrine space at the national level has implications for urban planning and land management. Blue spaces should maximize their ecosystem services' provision for the whole society to promote cities' sustainability and resilience.</t>
  </si>
  <si>
    <t>[Falfan, Ina; Zambrano, Luis] Univ Nacl Autonoma Mexico, Lab Restaurac Ecol, Inst Biol, Mexico City 04510, DF, Mexico</t>
  </si>
  <si>
    <t>Universidad Nacional Autonoma de Mexico</t>
  </si>
  <si>
    <t>Zambrano, L (corresponding author), Univ Nacl Autonoma Mexico, Lab Restaurac Ecol, Inst Biol, Mexico City 04510, DF, Mexico.</t>
  </si>
  <si>
    <t>zambrano@ib.unam.mx</t>
  </si>
  <si>
    <t>Falfan, Ina/0000-0002-8120-8326; Zambrano, Luis/0000-0002-8632-0712</t>
  </si>
  <si>
    <t>Universidad Nacional Autonoma de Mexico(Universidad Nacional Autonoma de Mexico)</t>
  </si>
  <si>
    <t>This research was funded by Universidad Nacional Autonoma de Mexico through postdoctoral research support for IF from Postdoctoral Fellowship Program at the National Autonomous University of Mexico (Programa de Becas Posdoctorales en la Universidad Nacional Autonoma de Mexico).</t>
  </si>
  <si>
    <t>10.3390/land12010228</t>
  </si>
  <si>
    <t>8C7CN</t>
  </si>
  <si>
    <t>WOS:000917762100001</t>
  </si>
  <si>
    <t>Access to blue spaces and ecosystem services</t>
  </si>
  <si>
    <t>GIS to determine access and quantities</t>
  </si>
  <si>
    <t>Mexico</t>
  </si>
  <si>
    <t>Furman, KL; Harlan, SL; Barbieri, L; Scyphers, SB</t>
  </si>
  <si>
    <t>Furman, Kelsi L.; Harlan, Sharon L.; Barbieri, Luiz; Scyphers, Steven B.</t>
  </si>
  <si>
    <t>Social equity in shore-based fisheries: Identifying and understanding barriers to access</t>
  </si>
  <si>
    <t>MARINE POLICY</t>
  </si>
  <si>
    <t>Creel intercept surveys; Fishing behaviors; Shore-based fisheries; Shoreline alteration; Social-ecological systems; Social equity</t>
  </si>
  <si>
    <t>URBAN GREEN SPACE; ENVIRONMENTAL JUSTICE; ECOSYSTEM SERVICES; DISTRIBUTIVE JUSTICE; OUTDOOR RECREATION; FOOD SECURITY; HUMAN HEALTH; BLUE SPACE; SUBSISTENCE; EXPOSURE</t>
  </si>
  <si>
    <t>Understanding fishing access and social outcomes, including potential inequities, is essential for fisheries man-agers to develop more holistic management strategies that balance desires for all stakeholders. For shore-based fisheries, which support many lower-income and subsistence anglers, fishing opportunities and outcomes are influenced by multiple socio-environmental factors. Drawing from a theoretical framing in social equity and a case study in Key West, Florida, this paper aims to examine the following questions: 1) Who is shore fishing; 2) What motivates anglers to participate in shore fishing; and 3) Is there social equity in shore fishing? More specifically, is there equitable a) access to natural resources among different groups of users, b) space allocated across different individuals or groups, and c) representation of stakeholder groups in participatory conservation, management, and decision-making? To answer these questions, we conducted 105 creel intercept surveys in Key West, Florida from June to August 2019. Our findings showed that low-income shore fishers and Black shore fishers were less satisfied with fishing access and regulations than higher-income or White fishers and more likely to be fishing for subsistence. Low-income shore fishers and non-White shore fishers were more likely to be fishing along natural mangrove shorelines compared to seawalls or piers. The most reported barrier to shore-based fishing was fishing access, and barriers disproportionately affect non-White shore fishers and lower-income shore fishers. Collectively, our results demonstrate that three types of inequities can exist in shore-based fish-eries, including resource, spatial, and participation, resulting in both distributive and procedural injustices. Overcoming these inequities will require intentional and collaborative efforts among many key stakeholders including shore-based fishers, fisheries managers, coastal zone management institutions, and local municipalities.</t>
  </si>
  <si>
    <t>[Furman, Kelsi L.; Scyphers, Steven B.] NE Univ, Coastal Sustainabil Inst, Dept Marine &amp; Environm Sci, Nahant, MA 02115 USA; [Furman, Kelsi L.; Harlan, Sharon L.; Scyphers, Steven B.] NE Univ, Social Sci Environm Hlth Res Inst, Boston, MA USA; [Harlan, Sharon L.] Northeastern Univ, Dept Sociol Anthropol, Boston, MA USA; [Harlan, Sharon L.] NE Univ, Dept Hlth Sci, Boston, MA USA; [Barbieri, Luiz] Fish &amp; Wildlife Res Inst, Florida Fish &amp; Wildlife Conservat Commission, St Petersburg, FL USA; [Scyphers, Steven B.] Univ S Alabama, Sch Marine Environm Sci, Mobile, AL USA</t>
  </si>
  <si>
    <t>Northeastern University; Northeastern University; Northeastern University; Northeastern University; Florida Fish &amp; Wildlife Conservation Commission; University of South Alabama</t>
  </si>
  <si>
    <t>Furman, KL (corresponding author), NE Univ, Coastal Sustainabil Inst, Dept Marine &amp; Environm Sci, Nahant, MA 02115 USA.</t>
  </si>
  <si>
    <t>kelsi.furman@gmail.com</t>
  </si>
  <si>
    <t>ELSEVIER SCI LTD</t>
  </si>
  <si>
    <t>THE BOULEVARD, LANGFORD LANE, KIDLINGTON, OXFORD OX5 1GB, OXON, ENGLAND</t>
  </si>
  <si>
    <t>0308-597X</t>
  </si>
  <si>
    <t>1872-9460</t>
  </si>
  <si>
    <t>MAR POLICY</t>
  </si>
  <si>
    <t>Mar. Pol.</t>
  </si>
  <si>
    <t>10.1016/j.marpol.2022.105355</t>
  </si>
  <si>
    <t>DEC 2022</t>
  </si>
  <si>
    <t>Environmental Studies; International Relations</t>
  </si>
  <si>
    <t>Environmental Sciences &amp; Ecology; International Relations</t>
  </si>
  <si>
    <t>9W4DX</t>
  </si>
  <si>
    <t>WOS:000949029800001</t>
  </si>
  <si>
    <t>Access to fishing and regulations</t>
  </si>
  <si>
    <t>In person survey (n=105)</t>
  </si>
  <si>
    <t>case</t>
  </si>
  <si>
    <t xml:space="preserve">USA </t>
  </si>
  <si>
    <t>Pal, S; Singha, A; Mondal, S; Debanshi, S</t>
  </si>
  <si>
    <t>Pal, Swades; Singha, Adrish; Mondal, Sumona; Debanshi, Sandipta</t>
  </si>
  <si>
    <t>Ecological consequences of urban blue space transformation</t>
  </si>
  <si>
    <t>ENVIRONMENTAL SCIENCE AND POLLUTION RESEARCH</t>
  </si>
  <si>
    <t>Urban expansion; Wastewater influx; Urban blue space; Hyper-eutrophication; Hydro-ecological degradation; Reduction of ESV</t>
  </si>
  <si>
    <t>ECOSYSTEM SERVICES; HEALTH-ASSESSMENT; WETLANDS; STATE</t>
  </si>
  <si>
    <t>This study presents the ecological consequences of the blue space conversion and its qualitative degradation in the English Bazar Municipality (EBM) and its surrounding area. The primary blue spaces of the area, the marshy wetland called Chatra and Mohananda river, are the most affected due to urban activities like built-up expansion and sewage and wastewater discharge. Built-up development encroached more than 300 m within wetland territory and caused a 0.57 -km2 conversion of wetland area. It is also evident within the bed of the Mohananda river. Agriculture also caused the conversion of the blue space. As a result, the wetland's ecosystem service value (ESV) was reduced by 12.7%, along with a reduction of cultural services by 27.86%. The massive pouring of sewage and wastewater caused hyper-eutrophication in almost the entire wetland area. The trophic state index (TSI) value increased significantly in the last 10 years, causing high growth and areal expansion of water hyacinth. The expanding settlements and agricultural land that captured the river channel face inundation vulnerability during peak discharge. Extreme danger level discharge causes floods in the extensive municipality area. The areal encroachment, water extraction, sewage and wastewater discharge, and water quality deterioration caused severe hydroecological degradation of the river. Since blue space is critically essential for urban environmental health, these ecological consequences can cause a crisis for urban wellbeing. Therefore, the anthropogenic adversities towards the urban blue space must be restricted, and the blue space's ecological sustenance must be paid enough attention.</t>
  </si>
  <si>
    <t>[Pal, Swades; Singha, Adrish; Mondal, Sumona; Debanshi, Sandipta] Univ Gour Banga, Dept Geog, Malda, India</t>
  </si>
  <si>
    <t>University of Gour Banga</t>
  </si>
  <si>
    <t>Debanshi, S (corresponding author), Univ Gour Banga, Dept Geog, Malda, India.</t>
  </si>
  <si>
    <t>swadespal2017@gmail.com; adrish33749@gmail.com; sumonamondal685@gmail.com; debanshi.sandipta93@gmail.com</t>
  </si>
  <si>
    <t>SPRINGER HEIDELBERG</t>
  </si>
  <si>
    <t>HEIDELBERG</t>
  </si>
  <si>
    <t>TIERGARTENSTRASSE 17, D-69121 HEIDELBERG, GERMANY</t>
  </si>
  <si>
    <t>0944-1344</t>
  </si>
  <si>
    <t>1614-7499</t>
  </si>
  <si>
    <t>ENVIRON SCI POLLUT R</t>
  </si>
  <si>
    <t>Environ. Sci. Pollut. Res.</t>
  </si>
  <si>
    <t>MAR</t>
  </si>
  <si>
    <t>10.1007/s11356-022-24575-4</t>
  </si>
  <si>
    <t>A9WJ6</t>
  </si>
  <si>
    <t>WOS:000898458800015</t>
  </si>
  <si>
    <t>Detrimental effects of loss of ecosystem service value</t>
  </si>
  <si>
    <t>Effects of human activities on blue space health</t>
  </si>
  <si>
    <t>India</t>
  </si>
  <si>
    <t>Jakstis, K; Dubovik, M; Laikari, A; Mustajarvi, K; Wendling, L; Fischer, LK</t>
  </si>
  <si>
    <t>Jakstis, Kristen; Dubovik, Maria; Laikari, Arto; Mustajarvi, Kaisa; Wendling, Laura; Fischer, Leonie K.</t>
  </si>
  <si>
    <t>Informing the design of urban green and blue spaces through an understanding of Europeans' usage and preferences</t>
  </si>
  <si>
    <t>PEOPLE AND NATURE</t>
  </si>
  <si>
    <t>blue infrastructure; COVID-19 (SARS-CoV-2) pandemic; green and blue space accessibility; nature-based solutions; outdoor recreation; urban green infrastructure; urban greening</t>
  </si>
  <si>
    <t>SPECIES-RICHNESS; OUTDOOR RECREATION; VISUAL PREFERENCE; BIODIVERSITY; CITIES; MEADOWS; URBANIZATION; EXTINCTION; LANDSCAPES; PERCEPTION</t>
  </si>
  <si>
    <t>In light of global climate change and the biodiversity crisis, making cities more resilient through an adjusted design of urban green and blue spaces is crucial. Nature-based solutions help address these challenges while providing opportunities for nature experiences, and providing cultural ecosystem services that support public health. The COVID-19 pandemic and its associated stressors highlighted the interrelated socio-ecological services provided by nature-based solutions like urban green and blue spaces. This pan-European study therefore aimed to enhance the socio-ecological understanding of green and blue spaces to support their design and management. Using an online survey, green and blue space preferences, usage, and pandemic-related changes in greenspace visit and outdoor recreation frequencies were examined. Greenspace visit and outdoor recreation frequencies were associated with respondents' (N = 584 from 15 countries) geographical location, dominant type of neighbourhood greenspace and greenspace availability during the pandemic, but not greenspace perceptions or sociodemographic background. Greenspace visit and outdoor recreation frequencies were generally high; however, Southern Europeans reported lower greenspace visit and outdoor recreation frequencies both before and during the pandemic than Northern Europeans. Many Southern Europeans also reported having few neighbourhood greenspaces and low greenspace availability during the pandemic. The most common outdoor recreational activity among respondents before the pandemic was walking or running with the most frequently stated purpose of time spent outdoors being restorative in nature (i.e. relaxing or calming down). Most Europeans had positive perceptions of green and blue spaces with preferences for structurally diverse and natural or unmanaged green elements. This highlights the importance of accessible green and blue spaces both in everyday life and during times of crisis. Stakeholders, their preferences, and regional and cultural differences should be included in the co-design of urban green and blue spaces to maximize their potential for both people and nature. Read the free Plain Language Summary for this article on the Journal blog.</t>
  </si>
  <si>
    <t>[Jakstis, Kristen; Fischer, Leonie K.] Univ Stuttgart, Inst Landscape Planning &amp; Ecol, Stuttgart, Germany; [Dubovik, Maria; Laikari, Arto; Wendling, Laura] VTT Tech Res Ctr Finland, Espoo, Finland; [Mustajarvi, Kaisa] Ramboll Finland Oy, Impact Assessment, Ecol, Tampere, Finland</t>
  </si>
  <si>
    <t>University of Stuttgart; VTT Technical Research Center Finland</t>
  </si>
  <si>
    <t>Jakstis, K (corresponding author), Univ Stuttgart, Inst Landscape Planning &amp; Ecol, Stuttgart, Germany.</t>
  </si>
  <si>
    <t>kristen.jakstis@ilpoe.uni-stuttgart.de</t>
  </si>
  <si>
    <t>Wendling, Laura A/A-2745-2014</t>
  </si>
  <si>
    <t>Wendling, Laura A/0000-0002-5728-3684; Jakstis, Kristen/0000-0001-5486-9754; Dubovik, Maria/0000-0003-3889-5092; Laikari, Arto/0000-0003-4452-6488</t>
  </si>
  <si>
    <t>Urban Nature Labs (UNaLab) -Horizon 2020;  [730052]</t>
  </si>
  <si>
    <t xml:space="preserve">Urban Nature Labs (UNaLab) -Horizon 2020; </t>
  </si>
  <si>
    <t>Urban Nature Labs (UNaLab) -Horizon 2020, Grant/Award Number: No 730052: Topic: SCC-2-2016-2017</t>
  </si>
  <si>
    <t>2575-8314</t>
  </si>
  <si>
    <t>PEOPLE NAT</t>
  </si>
  <si>
    <t>People Nat.</t>
  </si>
  <si>
    <t>10.1002/pan3.10419</t>
  </si>
  <si>
    <t>Biodiversity Conservation; Ecology</t>
  </si>
  <si>
    <t>9W4QO</t>
  </si>
  <si>
    <t>WOS:000894620700001</t>
  </si>
  <si>
    <t>Accees and frequencies of greenspace visits, before and after pandemic. Preference of blue/green space</t>
  </si>
  <si>
    <t>multi-case</t>
  </si>
  <si>
    <t>Pan-Europe</t>
  </si>
  <si>
    <t>Ebner, M; Schirpke, U; Tappeiner, U</t>
  </si>
  <si>
    <t>Ebner, Manuel; Schirpke, Uta; Tappeiner, Ulrike</t>
  </si>
  <si>
    <t>Combining multiple socio-cultural approaches-Deeper insights into cultural ecosystem services of mountain lakes?</t>
  </si>
  <si>
    <t>Blue Space; Perceptions; Well-being; Mixed methods; European Alps; Non-monetary</t>
  </si>
  <si>
    <t>HUMAN HEALTH; VALUATION; INDICATORS; MANAGEMENT; CHALLENGE; RESIDENTS; IMPACT; VALUES</t>
  </si>
  <si>
    <t>Human interactions with freshwater blue spaces promote various benefits to well-being, which can be framed by the cultural ecosystem services (CES) concept. However, small natural mountain lakes remain scarcely explored in this regard, although a comprehensive understanding of their CES is needed to promote sustainable use. To support landscape management and planning, our aims were therefore to (1) assess multiple elements of human interactions from a CES perspective (i.e., natural assets, relevant CES, benefits to subjective well-being, and pressures/threats) and (2) to evaluate the potential of integrating different socio-cultural approaches in terms of knowledge generation and applicability. By combining an online survey, social media data and participatory stakeholder workshops conducted in the context of the European Alps, we were able to capture social perceptions in quantitative, qualitative, and spatially explicit terms. Complementarity of the approaches was evident, also considering aspects of scalability, social representation, and generalisability of findings. Convergence of findings emphasised the importance of intangible benefits to well-being such as connection to nature, relaxation, and peace, but partly limited the overall information gain. Thus, the integration of socio-cultural approaches can promote more effective knowledge generation, as none of the approaches alone was sufficient to capture all the elements under consideration while yet satisfying all aspects of applicability. To further operationalise the integration of CES into planning processes, future research could aim to quantify human interactions with mountain lakes and associated well-being outcomes, and deepen the understanding of potential conflicts arising from human use of CES as revealed by this study.</t>
  </si>
  <si>
    <t>[Ebner, Manuel; Schirpke, Uta; Tappeiner, Ulrike] Univ Innsbruck, Dept Ecol, Sternwartestrasse 15, A-6020 Innsbruck, Austria; [Ebner, Manuel; Schirpke, Uta; Tappeiner, Ulrike] Eurac Res, Inst Alpine Environm, Viale Druso 1, I-39100 Bozen Bolzano, Italy</t>
  </si>
  <si>
    <t>University of Innsbruck; European Academy of Bozen-Bolzano</t>
  </si>
  <si>
    <t>Schirpke, U (corresponding author), Univ Innsbruck, Dept Ecol, Sternwartestrasse 15, A-6020 Innsbruck, Austria.;Schirpke, U (corresponding author), Eurac Res, Inst Alpine Environm, Viale Druso 1, I-39100 Bozen Bolzano, Italy.</t>
  </si>
  <si>
    <t>Uta.Schirpke@uibk.ac.at</t>
  </si>
  <si>
    <t>Schirpke, Uta/AAF-5256-2020; Tappeiner, Ulrike/B-8727-2009</t>
  </si>
  <si>
    <t>Schirpke, Uta/0000-0002-2075-6118; Tappeiner, Ulrike/0000-0002-0195-7459</t>
  </si>
  <si>
    <t>Austrian Federal Ministry of Education Science and Research</t>
  </si>
  <si>
    <t>This research was carried out within the project CLAIMES (CLimate response of AlpIne lakes: resistance variability and Management con- sequences for Ecosystem Services) under the Earth System Sciences research programme, which is an initiative of the Austrian Academy of Sciences financed by the Austrian Federal Ministry of Education, Science and Research. U.T. is a member of the Research Area Mountain Regions at the University of Innsbruck.</t>
  </si>
  <si>
    <t>DEC</t>
  </si>
  <si>
    <t>10.1016/j.lurbplan.2022.104549</t>
  </si>
  <si>
    <t>6A1OL</t>
  </si>
  <si>
    <t>WOS:000880429800003</t>
  </si>
  <si>
    <t>Perceptions in quantitative, qualitative and spatially explicit terms</t>
  </si>
  <si>
    <t>Online survey, social media, workshops</t>
  </si>
  <si>
    <t>Europe (Alps)</t>
  </si>
  <si>
    <t>Aznarez, C; Svenning, JC; Taveira, G; Baro, F; Pascual, U</t>
  </si>
  <si>
    <t>Aznarez, Celina; Svenning, Jens-Christian; Taveira, German; Baro, Francesc; Pascual, Unai</t>
  </si>
  <si>
    <t>Wildness and habitat quality drive spatial patterns of urban biodiversity</t>
  </si>
  <si>
    <t>ECOSYSTEM SERVICES; NATURES CONTRIBUTIONS; HEALTH-BENEFITS; GREEN SPACES; CONSERVATION; CITY; LAND; WILDERNESS; AREAS; MODEL</t>
  </si>
  <si>
    <t>Urban green and blue spaces (UGBS) are key for biodiversity conservation. Many studies focus on UGBS benefits for well-being, but how UGBS ecological and quality influence urban biodiversity is still poorly understood. We analysed the predictive accuracy of urban wildness (UW) and habitat quality (HQ) spatial patterns to biodiversity in the city of Vitoria-Gasteiz, Basque Country. Using GIS techniques, we mapped relative UW as a landscape quality, considering remoteness, challenging terrain, and perceived naturalness. We further evaluated HQ using the InVEST habitat quality module, including data on habitat sensitivity to threats (e.g. population density, light and noise pollution, accessibility) and suitability for biodiversity support, based on a parametrization by expert consultation. We compared UW and HQ to observed species richness obtained from crowd-sourced databases as a biodiversity proxy. UW and HQ models predicted general biodiversity urban patterns, being particularly adequate in UGBS. Peripheral UGBS were associated with higher UW and HQ and positively correlated to biodiversity, as opposed to the smaller-sized centrally located UGBS, more exposed to threats. Both predictors significantly explained biodiversity, and HQ better accounted for threat susceptibility in UGBS. Our findings suggest that small-sized UGBS, such as parks and squares, fail to effectively support urban biodiversity, due to their high exposure and vulnerability to threats, particularly in centric areas. Emphasizing efforts in larger centric UGBS with rewilding strategies (e.g. lowering management frequency) and reducing exposure to threats is essential to increase the habitat quality of UGBS and thus support urban biodiversity.</t>
  </si>
  <si>
    <t>[Aznarez, Celina; Baro, Francesc] Univ Autonoma Barcelona, Inst Environm Sci &amp; Technol ICTA, Cerdanyola Del Valles, Spain; [Aznarez, Celina; Pascual, Unai] Univ Basque Country, Basque Ctr Climate Change BC3, Sci Campus, Leioa, Spain; [Svenning, Jens-Christian] Aarhus Univ, Ctr Biodivers Dynam Changing World, Dept Biol, Aarhus, Denmark; [Taveira, German] Univ Republ UdelaR, Ctr Univ Reg Este CURE, Dept Terr, Maldonado, Uruguay; [Baro, Francesc] Vrije Univ Brussel VUB, Geog Dept, Brussels, Belgium; [Baro, Francesc] Vrije Univ Brussel VUB, Sociol Dept, Brussels, Belgium; [Pascual, Unai] Ikerbasque, Basque Fdn Sci, Bilbao, Spain; [Pascual, Unai] Univ Bern, Ctr Dev &amp; Environm, Bern, Switzerland</t>
  </si>
  <si>
    <t>Autonomous University of Barcelona; Basque Centre for Climate Change (BC3); University of Basque Country; Aarhus University; Universidad de la Republica, Uruguay; Vrije Universiteit Brussel; Vrije Universiteit Brussel; Basque Foundation for Science; University of Bern</t>
  </si>
  <si>
    <t>Aznarez, C (corresponding author), Univ Autonoma Barcelona, Inst Environm Sci &amp; Technol ICTA, Cerdanyola Del Valles, Spain.</t>
  </si>
  <si>
    <t>celina.aznarez@bc3research.org; svenning@bio.au.dk; german.taveira@cure.edu.uy; francese.baro@vub.be; unai.pascual@bc3research.org</t>
  </si>
  <si>
    <t>Svenning, Jens-Christian/C-8977-2012; Baró, Francesc/C-1564-2019; PASCUAL, UNAI/B-4766-2012</t>
  </si>
  <si>
    <t>Svenning, Jens-Christian/0000-0002-3415-0862; Baró, Francesc/0000-0002-0145-6320; PASCUAL, UNAI/0000-0002-5696-236X</t>
  </si>
  <si>
    <t>Doctoral INPhINIT-INCOMING program from La Caixa Foundation [LCF/BQ/DI20/11780004, 100010434]; VILLUM FONDEN [16549]; Basque Centre for Climate Change Unit of Excellence (Spanish Ministry of Economy and Competitiveness) [MDM2017-0714]; ICTA-UAB Maria de Maeztu Programme for Units of Excellence of the Spanish Ministry of Science and Innovation [CEX2019-000940-M]</t>
  </si>
  <si>
    <t>Doctoral INPhINIT-INCOMING program from La Caixa Foundation; VILLUM FONDEN(Villum Fonden); Basque Centre for Climate Change Unit of Excellence (Spanish Ministry of Economy and Competitiveness); ICTA-UAB Maria de Maeztu Programme for Units of Excellence of the Spanish Ministry of Science and Innovation</t>
  </si>
  <si>
    <t>We are grateful to the Environmental Studies Centre (CEA) from the Vitoria-Gasteiz council, especially to Asier Sarasua and Aitor Albaina for their collaboration and assistance with data collection and for providing valuable information from the city and greenbelt. We are also grateful to all the experts who kindly participated in the survey design and filled out the questionnaire for model parametrization, along with providing interesting discussion points. We thank Juan Pablo Pacheco for his feedback on the manuscript. CA was supported by the Doctoral INPhINIT-INCOMING program, fellowship code (LCF/BQ/DI20/11780004), from La Caixa Foundation (ID 100010434). JCS considers this work a contribution to his VILLUM Investigator project Biodiversity Dynamics in a Changing World funded by VILLUM FONDEN (grant 16549). This work was supported by the Basque Centre for Climate Change ``Unit of Excellence'' (Spanish Ministry of Economy and Competitiveness; MDM2017-0714).; This research contributes to ICTA-UAB Maria de Maeztu Programme for Units of Excellence of the Spanish Ministry of Science and Innovation (CEX2019-000940-M).</t>
  </si>
  <si>
    <t>10.1016/j.landurbplan.2022.104570</t>
  </si>
  <si>
    <t>5C8SS</t>
  </si>
  <si>
    <t>Green Published, hybrid</t>
  </si>
  <si>
    <t>WOS:000864524300004</t>
  </si>
  <si>
    <t>Drivers of urban diversity trends</t>
  </si>
  <si>
    <t xml:space="preserve">10m res. </t>
  </si>
  <si>
    <t>Remote sensing + citzen science</t>
  </si>
  <si>
    <t>Basque Country</t>
  </si>
  <si>
    <t>Venter, ZS; Figari, H; Krange, O; Gunderse, V</t>
  </si>
  <si>
    <t>Venter, Zander S.; Figari, Helene; Krange, Olve; Gunderse, Vegard</t>
  </si>
  <si>
    <t>Environmental justice in a very green city: Spatial inequality in exposure tourban nature, air pollution and heat in Oslo, Norway br</t>
  </si>
  <si>
    <t>SCIENCE OF THE TOTAL ENVIRONMENT</t>
  </si>
  <si>
    <t>Green space; Blue space; Densification; Urban nature; Urban sustainability; Exposure</t>
  </si>
  <si>
    <t>URBAN; CITIES; HEALTH; SPACE; LANDSCAPE</t>
  </si>
  <si>
    <t>Poorer citizens are often more exposed to environmental hazards due to spatial inequalities in the distribution of urbanblue-green space. Few cities have managed to prevent spatial and social inequality despite sustainable developmentstrategies like compact city planning. We explore whether environmental injustice exists in a city where one wouldleast expect tofind it: a city with abundant nature, an affluent population governed by a left leaning social democraticcity council, andan aggressive densification strategy;Oslo, Norway.Green spacewas measured with a satellite-derivedvegetation index which captures the combined availability of gardens, street trees, parks and forest. Blue space wasdefined by the proximity of residential areas to the closest lake, river or fjord. We found that poorer city districts,often with greater immigrant populations, have less available blue-green spaces and are disproportionately exposedto hazardous air pollution levels, but not extreme heat compared to wealthier city districts. Citizens living within100 m of a water body are likely to earn US$ 20,000 more per year than citizens living 500 m away from water,and a US$ 3000 increase in annual income corresponds to a 10 % increase in green space availability. Hazardousair pollution concentrations in the poorest city districts were above levels recommended by the WHO and Oslo munic-ipality. Historical trends showed that districts undergoing population densification coincide with the lowest availabil-ity of blue-green space, suggesting that environmental justice has been overlooked in compact city planning policy.Despite Oslo's affluence and egalitarian ideals, the patterns of inequality we observed mirror the city's historicaleast-west class divide and point to spatial concentration of wealth as a core factor to consider in studies of green seg-regation. Urban greening initiatives in Oslo and other cities should not take spatial equality for granted, and insteadconsider socio-economic geographies in their planning process</t>
  </si>
  <si>
    <t>[Venter, Zander S.; Figari, Helene; Krange, Olve; Gunderse, Vegard] Norwegian Inst Nat Res NINA, Sognsveien 68, N-0855 Oslo, Norway</t>
  </si>
  <si>
    <t>Norwegian Institute Nature Research</t>
  </si>
  <si>
    <t>Venter, ZS (corresponding author), Norwegian Inst Nat Res NINA, Sognsveien 68, N-0855 Oslo, Norway.</t>
  </si>
  <si>
    <t>zander.venter@nina.no</t>
  </si>
  <si>
    <t>Research Council of Norway;  [160022/F40]</t>
  </si>
  <si>
    <t xml:space="preserve">Research Council of Norway(Research Council of Norway); </t>
  </si>
  <si>
    <t>This research was financed by The Research Council of Norway, project no. 160022/F40 NINA basic funding</t>
  </si>
  <si>
    <t>0048-9697</t>
  </si>
  <si>
    <t>1879-1026</t>
  </si>
  <si>
    <t>SCI TOTAL ENVIRON</t>
  </si>
  <si>
    <t>Sci. Total Environ.</t>
  </si>
  <si>
    <t>FEB 1</t>
  </si>
  <si>
    <t>10.1016/j.scitotenv.2022.160193</t>
  </si>
  <si>
    <t>NOV 2022</t>
  </si>
  <si>
    <t>7F8UN</t>
  </si>
  <si>
    <t>WOS:000902115600011</t>
  </si>
  <si>
    <t>UBGS equlaity</t>
  </si>
  <si>
    <t>10m res. NVDI (GEE)</t>
  </si>
  <si>
    <t>Remote sensing + socio economic data</t>
  </si>
  <si>
    <t>Norway</t>
  </si>
  <si>
    <t>Cerin, E; Barnett, A; Wu, YT; Martino, E; Shaw, JE; Knibbs, LD; Poudel, G; Jalaludin, B; Anstey, KJ</t>
  </si>
  <si>
    <t>Cerin, Ester; Barnett, Anthony; Wu, Yu-Tzu; Martino, Erika; Shaw, Jonathan E.; Knibbs, Luke D.; Poudel, Govinda; Jalaludin, Bin; Anstey, Kaarin J.</t>
  </si>
  <si>
    <t>Do neighbourhood traffic-related air pollution and socio-economic status moderate the associations of the neighbourhood physical environment with cognitive function? Findings from the AusDiab study</t>
  </si>
  <si>
    <t>Walkability; Greenspace; Disadvantage; Mid-aged and older adults; Memory; Processing speed</t>
  </si>
  <si>
    <t>OLDER-ADULTS; BUILT ENVIRONMENT; EXPOSURE; DEMENTIA; HEALTH; TIME; PARTICIPATION; IMPAIRMENT; DECLINE; BRAIN</t>
  </si>
  <si>
    <t>Characteristics of the neighbourhood environment, including the built and natural environment, area-level socio-economic status (SES) and air pollution, have been linked to cognitive health. However, most studies have focused on single neighbourhood characteristics and have not considered the extent to which the effects of environmental fac-tors may interact. We examined the associations of measures of the neighbourhood built and natural environment, area-level SES and traffic-related air pollution (TRAP) with two cognitive function domains (memory and processing speed), and the extent to which area-level SES and TRAP moderated the associations. We used cross-sectional data from the AusDiab3 study, an Australian cohort study of adults (mean age: 61 years) in 2011-12 (N = 4141) for which geocoded residential addresses were available. Spatial data were used to create com-posite indices of built environment complexity (population density, intersection density, non-commercial land use mix, commercial land use) and natural environment (parkland and blue spaces). Area-level SES was obtained from na-tional census indices and TRAP was based on estimates of annual average levels of nitrogen dioxide (NO2). Confounder-adjusted generalised additive mixed models were used to estimate the independent associations of the en-vironmental measures with cognitive function and the moderating effects of area-level SES and TRAP. The positive as-sociations between built environment complexity and memory were stronger in those living in areas with higher SES and lower NO2 concentrations. A positive association between the natural environment and memory was found only in those living in areas with lower NO2 concentrations and average or below-average SES. Built environment complexity and the natural environment were positively related to processing speed. Complex urban environments and access to nature may benefit cognitive health in ageing populations. For higher-order cognitive abilities, such as memory, these positive effects may be stronger in areas with lower levels of TRAP.</t>
  </si>
  <si>
    <t>[Cerin, Ester; Barnett, Anthony; Poudel, Govinda] Australian Catholic Univ, Mary MacKillop Inst Hlth Res, 215 Spring St, Melbourne, Vic, Australia; [Cerin, Ester] Univ Hong Kong, Sch Publ Hlth, 7 Sassoon Rd, Hong Kong, Peoples R China; [Cerin, Ester; Shaw, Jonathan E.] Baker Heart &amp; Diabet Inst, Melbourne, Vic, Australia; [Cerin, Ester] UiT Artic Univ Norway, Dept Community Med, Tromso, Norway; [Wu, Yu-Tzu] Newcastle Univ, Populat Hlth Sci Inst, Newcastle NE4 5PL, England; [Martino, Erika] Univ Melbourne, Sch Populat &amp; Global Hlth, Melbourne, Vic, Australia; [Shaw, Jonathan E.] Monash Univ, Sch Publ Hlth &amp; Prevent Med, Melbourne, Vic, Australia; [Shaw, Jonathan E.] La Trobe Univ, Sch Life Sci, Melbourne, Vic, Australia; [Knibbs, Luke D.] Univ Sydney, Sydney Sch Publ Hlth, Camperdown, NSW, Australia; [Knibbs, Luke D.] Sydney Local Hlth Dist, Publ Hlth Unit, Camperdown, NSW, Australia; [Jalaludin, Bin] Univ New South Wales, Sch Populat Hlth, Randwick, NSW, Australia; [Anstey, Kaarin J.] Univ New South Wales, Sch Psychol, Randwick, NSW, Australia; [Anstey, Kaarin J.] Neurosci Res Australia NeuRA, Sydney, Australia; [Anstey, Kaarin J.] UNSW Ageing Futures Inst, Sydney, Australia; [Cerin, Ester] Australian Catholic Univ, Mary MacKillop Inst Hlth Res, Level 5,215 Spring St, Melbourne, Vic 3000, Australia</t>
  </si>
  <si>
    <t>Australian Catholic University; University of Hong Kong; Baker Heart and Diabetes Institute; UiT The Arctic University of Tromso; Newcastle University - UK; University of Melbourne; Monash University; La Trobe University; University of Sydney; University of New South Wales Sydney; University of New South Wales Sydney; Neuroscience Research Australia; Australian Catholic University</t>
  </si>
  <si>
    <t>Cerin, E (corresponding author), Australian Catholic Univ, Mary MacKillop Inst Hlth Res, Level 5,215 Spring St, Melbourne, Vic 3000, Australia.</t>
  </si>
  <si>
    <t>ester.cerin@acu.edu.au</t>
  </si>
  <si>
    <t>Barnett, Tony P/J-7591-2014; Anstey, Kaarin/A-3852-2008</t>
  </si>
  <si>
    <t>Barnett, Tony P/0000-0002-1376-6414; Anstey, Kaarin/0000-0002-9706-9316; Wu, Yu-Tzu/0000-0002-0874-4448</t>
  </si>
  <si>
    <t>grant (The environment, activeliving and cognitive health: building the evidence base) from the Australian Catholic University [ACURF18]; National Health and Medical Research Council (NHMRC) [1173952, 233200, 1007544]; Australian Research Council Laureate Fellowship [FL190100011]; Australian Government Department of Health and Ageing; Abbott Australasia Pty Ltd.; Alphapharm Pty Ltd.; Amgen Australia; AstraZeneca; Bristol-Myers Squibb; City Health Centre-Diabetes Service-Canberra; Department of Health and Community Services - Northern Territory; Department of Health and Human Services-Tasmania; Department of Health-New South Wales; Department of Health-Western Australia; Department of Health-South Australia; Department of Human Services-Victoria; Diabetes Australia; Diabetes Australia Northern Territory; Eli Lilly Australia; Estate of the Late Edward Wilson; GlaxoSmithKline; JackBrockhoff Foundation; Janssen-Cilag; Kidney Health Australia; MarianFH Flack Trust; Menzies Research Institute; Merck Sharp Dohme; Novartis Pharmaceuticals; Novo Nordisk Pharmaceuticals; Pfizer Pty Ltd.; Pratt Foundation; Queensland Health; Roche Diagnostics Australia; Royal Prince Alfred Hospital, Sydney; SanofiAventis; sanofi-synthelabo; Victorian Government's OIS Program; Australian Research Council Centre of Excellence in Population Ageing Research</t>
  </si>
  <si>
    <t>grant (The environment, activeliving and cognitive health: building the evidence base) from the Australian Catholic University; National Health and Medical Research Council (NHMRC)(National Health and Medical Research Council (NHMRC) of Australia); Australian Research Council Laureate Fellowship(Australian Research Council); Australian Government Department of Health and Ageing(Australian GovernmentDepartment of Health &amp; Ageing); Abbott Australasia Pty Ltd.(Abbott Laboratories); Alphapharm Pty Ltd.; Amgen Australia(Amgen); AstraZeneca(AstraZeneca); Bristol-Myers Squibb(Bristol-Myers Squibb); City Health Centre-Diabetes Service-Canberra; Department of Health and Community Services - Northern Territory; Department of Health and Human Services-Tasmania; Department of Health-New South Wales; Department of Health-Western Australia; Department of Health-South Australia; Department of Human Services-Victoria; Diabetes Australia; Diabetes Australia Northern Territory; Eli Lilly Australia(Eli Lilly); Estate of the Late Edward Wilson; GlaxoSmithKline(GlaxoSmithKline); JackBrockhoff Foundation; Janssen-Cilag(Johnson &amp; JohnsonJohnson &amp; Johnson USAJanssen Biotech Inc); Kidney Health Australia; MarianFH Flack Trust; Menzies Research Institute; Merck Sharp Dohme(Merck &amp; Company); Novartis Pharmaceuticals(Novartis); Novo Nordisk Pharmaceuticals(Novo Nordisk); Pfizer Pty Ltd.(Pfizer); Pratt Foundation; Queensland Health; Roche Diagnostics Australia; Royal Prince Alfred Hospital, Sydney(University of Sydney); SanofiAventis(Sanofi-Aventis); sanofi-synthelabo; Victorian Government's OIS Program; Australian Research Council Centre of Excellence in Population Ageing Research(Australian Research Council)</t>
  </si>
  <si>
    <t>This work was supported by a program grant (The environment, activeliving and cognitive health: building the evidence base) from theAustralian Catholic University [grant number ACURF18]. Jonathan E.Shaw is supported by a National Health and Medical Research Council (NHMRC) Investigator Grant [grant number 1173952]. Kaarin J. Ansteyis funded by an Australian Research Council Laureate Fellowship [grantnumber FL190100011]. The funders had no role in study design, data anal-ysis, interpretation of the results, the decision to publish, or preparation ofthe manuscriptThe AusDiab study, initiated and coordinated by the International Dia-betes Institute, and subsequently coordinated by the Baker Heart and Dia-betes Institute, gratefully acknowledges the support and assistance givenby: B Atkins, B Balkau, E Barr, A Cameron, S Chadban, M de Courten, DDunstan, A Kavanagh, D Magliano, S Murray, N Owen, K Polkinghorne, TWelborn, P Zimmet and all the study participants.Also, for funding or logistical support, we are grateful to: National Health and Medical Research Council (NHMRC grants 233200 and 1007544), Australian Government Department of Health and Ageing, Abbott Australasia Pty Ltd., Alphapharm Pty Ltd., Amgen Australia,AstraZeneca, Bristol-Myers Squibb, City Health Centre-Diabetes Service-Canberra, Department of Health and Community Services - Northern Territory, Department of Health and Human Services-Tasmania, Department of Health-New South Wales, Department of Health-Western Australia, Department of Health-South Australia, Department of Human Services-Victoria, Diabetes Australia, Diabetes Australia Northern Territory, Eli Lilly Australia, Estate of the Late Edward Wilson, GlaxoSmithKline, JackBrockhoff Foundation, Janssen-Cilag, Kidney Health Australia, Marian&amp;FH Flack Trust, Menzies Research Institute, Merck Sharp &amp; Dohme, Novartis Pharmaceuticals, Novo Nordisk Pharmaceuticals, Pfizer Pty Ltd.,Pratt Foundation, Queensland Health, Roche Diagnostics Australia, Royal Prince Alfred Hospital, Sydney, SanofiAventis, sanofi-synthelabo, and theVictorian Government's OIS ProgramWe also acknowledge the support from the Australian Research Council Centre of Excellence in Population Ageing Research. We are grateful to Ms.Karen Biddiscombe, Dr. Yih-kai Chan, Ms. Kimberley Keates, Ms. SoniaMarchionda, Ms. Hannah Richards and Dr. Mark Symmons for assistingwith the literature searches and summaries of relevant systematic reviewscovering the various researchfields included in this study, and to Mr. DavidH. Lee for contributing to the computation of environmental data.</t>
  </si>
  <si>
    <t>10.1016/j.scitotenv.2022.160028</t>
  </si>
  <si>
    <t>7K4BH</t>
  </si>
  <si>
    <t>WOS:000905229500006</t>
  </si>
  <si>
    <t xml:space="preserve">Socail economic status, air qulaity and human memoery and processing (cognitive functions) </t>
  </si>
  <si>
    <t>In person survey</t>
  </si>
  <si>
    <t>Hansen, R; Buizer, M; Buijs, A; Pauleit, S; Mattijssen, T; Fors, H; van der Jagt, A; Kabisch, N; Cook, M; Delshammar, T; Randrup, TB; Erlwein, S; Vierikko, K; Nieminen, H; Langemeyer, J; Texereau, CS; Luz, AC; Nastran, M; Olafsson, AS; Moller, MS; Haase, D; Rolf, W; Ambrose-Oji, B; Branquinho, C; Havik, G; Kronenberg, J; Konijnendijk, C</t>
  </si>
  <si>
    <t>Hansen, Rieke; Buizer, Marleen; Buijs, Arjen; Pauleit, Stephan; Mattijssen, Thomas; Fors, Hanna; van der Jagt, Alexander; Kabisch, Nadja; Cook, Mandy; Delshammar, Tim; Randrup, Thomas B.; Erlwein, Sabrina; Vierikko, Kati; Nieminen, Hanna; Langemeyer, Johannes; Texereau, Camille Soson; Luz, Ana Catarina; Nastran, Mojca; Olafsson, Anton Stahl; Moller, Maja Steen; Haase, Dagmar; Rolf, Werner; Ambrose-Oji, Bianca; Branquinho, Cristina; Havik, Gilles; Kronenberg, Jakub; Konijnendijk, Cecil</t>
  </si>
  <si>
    <t>Transformative or piecemeal? Changes in green space planning and governance in eleven European cities</t>
  </si>
  <si>
    <t>EUROPEAN PLANNING STUDIES</t>
  </si>
  <si>
    <t>Co-governance; participation; climate change; sustainability transformations; green infrastructure</t>
  </si>
  <si>
    <t>URBAN ECOSYSTEM SERVICES; TRANSITION MANAGEMENT; SUSTAINABILITY; INFRASTRUCTURE; INNOVATION; JUSTICE; PATH</t>
  </si>
  <si>
    <t>Green (and blue) spaces receive attention as important components of cities that can help to mitigate the effects of climate change, support biodiversity and improve public health. Green space planning aims to transform cities towards urban sustainability and resilience. In a longitudinal study, representatives from eleven European municipalities that had previously been interviewed in 2014 were re-interviewed in 2020-2021 on changes in urban greening and related practices. The interviewees reported mainly advancements in dealing with ecological issues, such as new plans, strategies, regulations or funding programmes for climate adaptation or biodiversity support, as well as some progress in co-governance with non-governmental stakeholders. Promising developments include breaking professional silos by creating new units that can better deal with complex urban issues. In a few cases, high-level local politicians induced profound changes. These changes stimulated the development of new planning and governance cultures, resulting in more co-creation of urban green spaces. However, from a transformation studies perspective, incremental strategies dominate, and even when municipal representatives are aware that substantive changes are needed, they often lack the means to act. For more radical system change, significant extra efforts are needed.</t>
  </si>
  <si>
    <t>[Hansen, Rieke] Hsch Geisenheim, Geisenheim, Germany; [Buizer, Marleen] Wageningen Univ, Strateg Commun Grp, Wageningen, Netherlands; [Buijs, Arjen; van der Jagt, Alexander; Havik, Gilles] Wageningen Univ, Forest &amp; Nat Conservat Policy Grp, Wageningen, Netherlands; [Pauleit, Stephan; Erlwein, Sabrina; Rolf, Werner] Tech Univ Munich, Munich, Germany; [Mattijssen, Thomas] Wageningen Univ, Econ Res, Wageningen, Netherlands; [Fors, Hanna] Swedish Univ Agr Sci, Dept Landscape Architecture Planning &amp; Management, Alnarp Campus, Lomma, Sweden; [van der Jagt, Alexander] Heriot Watt Univ, Sch Energy Geosci Infrastruct &amp; Soc, Urban Inst, Edinburgh, Midlothian, Scotland; [Kabisch, Nadja] Leibniz Univ Hannover, Inst Phys Geog &amp; Landscape Ecol, Hannover, Germany; [Kabisch, Nadja; Haase, Dagmar] Humboldt Univ, Dept Geog, Berlin, Germany; [Cook, Mandy; Ambrose-Oji, Bianca] Forest Res Northern Res Stn, Roslin, Midlothian, Scotland; [Delshammar, Tim] VA SYD, Malmo, Sweden; [Vierikko, Kati; Nieminen, Hanna] Finnish Environm Ctr, Helsinki, Finland; [Langemeyer, Johannes; Texereau, Camille Soson] Univ Autonoma Barcelona, Inst Environm Sci &amp; Technol ICTA, Barcelona, Spain; [Luz, Ana Catarina] ISEG Lisbon Sch Econ &amp; Management, Lisbon, Portugal; [Nastran, Mojca] Univ Ljubljana, Biotech Fac, Dept Forestry &amp; Renewable Forest Resources, Ljubljana, Slovenia; [Olafsson, Anton Stahl; Moller, Maja Steen] Univ Copenhagen, Dept Geosci &amp; Nat Resource Management, Sect Landscape Architecture &amp; Planning, Copenhagen, Denmark; [Haase, Dagmar] UFZ Helmholtz Ctr Environm Res, Dept Computat Landscape Ecol, Leipzig, Germany; [Branquinho, Cristina] Univ Lisbon, Fac Ciencias, CE3c Ctr Ecol Evolut &amp; Environm Changes, Lisbon, Portugal; [Branquinho, Cristina] Univ Lisbon, Fac Ciencias, CHANGE Global Change &amp; Sustainabil Inst, Lisbon, Portugal; [Kronenberg, Jakub] Univ Lodz, Social Ecol Syst Anal Lab, Lodz, Poland; [Konijnendijk, Cecil] Nat Based Solut Inst, Barcelona, Spain; [Buijs, Arjen] Wageningen Univ, Wageningen Environm Res, Wageningen, Netherlands</t>
  </si>
  <si>
    <t>Wageningen University &amp; Research; Wageningen University &amp; Research; Technical University of Munich; Wageningen University &amp; Research; Swedish University of Agricultural Sciences; Heriot Watt University; Leibniz University Hannover; Humboldt University of Berlin; Finnish Environment Institute; Autonomous University of Barcelona; University of Ljubljana; University of Copenhagen; Helmholtz Association; Helmholtz Center for Environmental Research (UFZ); Universidade de Lisboa; Universidade de Lisboa; University of Lodz; Wageningen University &amp; Research</t>
  </si>
  <si>
    <t>Hansen, R (corresponding author), Hsch Geisenheim Univ, Inst Freiraumentwicklung, DE-65366 Hessen, Germany.</t>
  </si>
  <si>
    <t>rieke.hansen@hs-gm.de</t>
  </si>
  <si>
    <t>Rolf, Werner/AAS-2669-2020; van der Jagt, Alexander/AAW-5556-2021; Buijs, Arjen E/C-6412-2011; Rolf, Werner/HDM-7973-2022; Branquinho, Cristina/B-3670-2008; Kronenberg, Jakub/ABD-9941-2021; Olafsson, Anton S/D-1002-2015; B. Randrup, Thomas/N-1650-2015</t>
  </si>
  <si>
    <t>Rolf, Werner/0000-0001-7040-034X; Buijs, Arjen E/0000-0002-1683-6182; Rolf, Werner/0000-0001-7040-034X; Branquinho, Cristina/0000-0001-8294-7924; Kronenberg, Jakub/0000-0003-4903-2401; Olafsson, Anton S/0000-0002-7940-8126; Kabisch, Nadja/0000-0002-8925-4423; Langemeyer, Johannes/0000-0002-0558-8486; van der Jagt, Alexander/0000-0002-1365-5765; Buizer, Marleen/0000-0001-8015-0380; B. Randrup, Thomas/0000-0003-1368-3915; Hansen, Rieke/0000-0002-4230-1579; Erlwein, Sabrina/0000-0002-7599-560X; Nastran, Mojca/0000-0001-6235-7652; Nieminen, Hanna/0000-0003-1500-3063; Fors, Hanna/0000-0002-8600-2271</t>
  </si>
  <si>
    <t>European Union [FP7-ENV.2013.6.2-5603567]</t>
  </si>
  <si>
    <t>European Union(European Union (EU))</t>
  </si>
  <si>
    <t>This study did not receive any funding. It builds on research that was supported by the European Union's Research and Innovation funding programme for 2007-2013 FP 7 (FP7-ENV.2013.6.2-5603567).</t>
  </si>
  <si>
    <t>ROUTLEDGE JOURNALS, TAYLOR &amp; FRANCIS LTD</t>
  </si>
  <si>
    <t>ABINGDON</t>
  </si>
  <si>
    <t>2-4 PARK SQUARE, MILTON PARK, ABINGDON OX14 4RN, OXON, ENGLAND</t>
  </si>
  <si>
    <t>0965-4313</t>
  </si>
  <si>
    <t>1469-5944</t>
  </si>
  <si>
    <t>EUR PLAN STUD</t>
  </si>
  <si>
    <t>Eur. Plan. Stud.</t>
  </si>
  <si>
    <t>2022 NOV 10</t>
  </si>
  <si>
    <t>10.1080/09654313.2022.2139594</t>
  </si>
  <si>
    <t>Environmental Studies; Geography; Regional &amp; Urban Planning; Urban Studies</t>
  </si>
  <si>
    <t>Environmental Sciences &amp; Ecology; Geography; Public Administration; Urban Studies</t>
  </si>
  <si>
    <t>6D6YO</t>
  </si>
  <si>
    <t>WOS:000882833600001</t>
  </si>
  <si>
    <t>Grenspace planning progress</t>
  </si>
  <si>
    <t>Neighbourhood scales geospatial analysis (20m buffer from street network)</t>
  </si>
  <si>
    <t>Interviews and repeat interviews (municipalitieis)</t>
  </si>
  <si>
    <t>longitudinal / case</t>
  </si>
  <si>
    <t>Pan -Europe</t>
  </si>
  <si>
    <t>Smith, N; Foley, R; Georgiou, M; Tieges, Z; Chastin, S</t>
  </si>
  <si>
    <t>Smith, Niamh; Foley, Ronan; Georgiou, Michail; Tieges, Zoe; Chastin, Sebastien</t>
  </si>
  <si>
    <t>Urban Blue Spaces as Therapeutic Landscapes: A Slice of Nature in the City</t>
  </si>
  <si>
    <t>INTERNATIONAL JOURNAL OF ENVIRONMENTAL RESEARCH AND PUBLIC HEALTH</t>
  </si>
  <si>
    <t>blue space; urban environment; therapeutic landscape; qualitative data</t>
  </si>
  <si>
    <t>HUMAN HEALTH; PHYSICAL-ACTIVITY; GREEN SPACES; CONTEXT; PEOPLE; BLUESPACES; FRAMEWORK; IMPACT; WATERS; PLACES</t>
  </si>
  <si>
    <t>Urban blue spaces are defined as all natural and manmade surface water in urban environments. This paper draws on how the concepts of experienced, symbolic, social, and activity space combine to position urban blue spaces as therapeutic landscapes. We conducted 203 intercept interviews between 12 October 2019 and 10 November 2019. Although safety concerns had health-limiting impacts, interacting with the Glasgow Canal and surrounding landscape was predominantly perceived as health-enhancing. Our findings build on current evidence, which has suggested that urban blue spaces, particularly canals, may foster therapeutic properties, contributing to healthier city environments. Further research is required to understand better the interconnectedness of urban blue spaces and health and how such spaces can be best developed and managed to improve the health outcomes of local populations.</t>
  </si>
  <si>
    <t>[Smith, Niamh; Georgiou, Michail; Chastin, Sebastien] Glasgow Caledonian Univ, Sch Hlth &amp; Life Sci, Glasgow G4 0BA, Lanark, Scotland; [Foley, Ronan] Maynooth Univ, Dept Geog, Maynooth W23 HW31, Kildare, Ireland; [Tieges, Zoe] Glasgow Caledonian Univ, Sch Comp Engn &amp; Built Environm, Glasgow G4 OBA, Lanark, Scotland; [Chastin, Sebastien] Univ Ghent, Dept Movement &amp; Sports, Watersportlaan 2, B-9000 Ghent, Belgium</t>
  </si>
  <si>
    <t>Glasgow Caledonian University; Maynooth University; Glasgow Caledonian University; Ghent University</t>
  </si>
  <si>
    <t>Smith, N (corresponding author), Glasgow Caledonian Univ, Sch Hlth &amp; Life Sci, Glasgow G4 0BA, Lanark, Scotland.</t>
  </si>
  <si>
    <t>niamh.smith@gcu.ac.uk</t>
  </si>
  <si>
    <t>Georgiou, Michail/IUP-6920-2023</t>
  </si>
  <si>
    <t>Georgiou, Michail/0000-0002-7652-8683; Tieges, Zoe/0000-0002-3820-3917; Chastin, Sebastien/0000-0003-1421-9348; Smith, Niamh/0000-0002-9255-2528</t>
  </si>
  <si>
    <t>1660-4601</t>
  </si>
  <si>
    <t>INT J ENV RES PUB HE</t>
  </si>
  <si>
    <t>Int. J. Environ. Res. Public Health</t>
  </si>
  <si>
    <t>NOV</t>
  </si>
  <si>
    <t>10.3390/ijerph192215018</t>
  </si>
  <si>
    <t>Environmental Sciences; Public, Environmental &amp; Occupational Health</t>
  </si>
  <si>
    <t>Environmental Sciences &amp; Ecology; Public, Environmental &amp; Occupational Health</t>
  </si>
  <si>
    <t>6K1QQ</t>
  </si>
  <si>
    <t>WOS:000887286300001</t>
  </si>
  <si>
    <t>Therapeutic ascpects of an urban canal</t>
  </si>
  <si>
    <t>deprivation scales</t>
  </si>
  <si>
    <t>Face to face interview</t>
  </si>
  <si>
    <t>cross-sectional case (2 months)</t>
  </si>
  <si>
    <t>Glasgow</t>
  </si>
  <si>
    <t>Wei, HX; Hauer, RJ; Sun, YX; Meng, LQ; Guo, P</t>
  </si>
  <si>
    <t>Wei, Hongxu; Hauer, Richard J.; Sun, Yuxiang; Meng, Lingquan; Guo, Peng</t>
  </si>
  <si>
    <t>Emotional perceptions of people exposed to green and blue spaces in forest parks of cities at rapid urbanization regions of East China</t>
  </si>
  <si>
    <t>Rapid urbanization; Green and blue infrastructures; Socio-economic condition; Nature-based solution; Sustainable urban planning</t>
  </si>
  <si>
    <t>BLACK SOIL REGION; HUMAN HEALTH; URBAN; PREFERENCE; LANDSCAPE; PROGRAM; IMPACT</t>
  </si>
  <si>
    <t>Urbanization modifies the landscape with green and blue spaces (GBS), which further leads to a functional change along an urban-rural gradient. Emotional improvement is a critical service of GBS, which may be perceived and exposed through facial expressions by visitors. How people react, however, may vary at different locations of a city at varied phases of urbanization. In this study, happy and sad emotions were rated as scores from 7965 Sina-Weibo users who visited 77 GBS across 49 cities of East China in 2020. GBS were located in different regions of a city, either near downtown or in more rural-like regions. Compared to cities near the Hu Huanyong line, those along the eastern coast were built with parks that had smaller green spaces at lower el-evations in locations near downtown. They also had larger blue spaces in parks at suburban areas of the same cities. People expressed more happiness in GBS in regions closer to remote rural regions, or in cities further from the eastern coast. Larger green spaces were associated with by the presentation more smiles in parks near downtown, while experiences in large blue spaces evoked positive emotions at suburban areas. Overall, GBS in population-dense regions of more developed cities can be perceived as an activation of exposing higher depression by visitors. More smiles can be exposed in GBS with a large green space near downtown, or with a large blue space at suburban regions of a city in East China.</t>
  </si>
  <si>
    <t>[Wei, Hongxu; Meng, Lingquan] Chinese Acad Sci, Northeast Inst Geog &amp; Agroecol, Key Lab Wetland Ecol &amp; Management, Changchun 130102, Peoples R China; [Wei, Hongxu] Univ Chinese Acad Sci, Beijing 100049, Peoples R China; [Hauer, Richard J.] Univ Wisconsin, Coll Nat Resources, 800 Reserve St, Stevens Point, WI 54481 USA; [Sun, Yuxiang] Jilin Univ, Sch Business &amp; Management, Dept Human Resources Management, Changchun 130021, Peoples R China; [Guo, Peng] Dalian Minzu Univ, Environm &amp; Resources Coll, Dalian 116600, Peoples R China; [Sun, Yuxiang] Jilin Univ, 2699 Qianjin St, Changchun 130021, Peoples R China; [Guo, Peng] 18 Liao River West Rd, Dalian 116600, Peoples R China</t>
  </si>
  <si>
    <t>Chinese Academy of Sciences; Northeast Institute of Geography &amp; Agroecology, CAS; Chinese Academy of Sciences; University of Chinese Academy of Sciences, CAS; University of Wisconsin System; University of Wisconsin Stevens Point; Jilin University; Dalian Minzu University; Jilin University</t>
  </si>
  <si>
    <t>Sun, YX (corresponding author), Jilin Univ, 2699 Qianjin St, Changchun 130021, Peoples R China.;Guo, P (corresponding author), 18 Liao River West Rd, Dalian 116600, Peoples R China.</t>
  </si>
  <si>
    <t>weihongxu@iga.ac.cn; rhauer@uwsp.edu; sunyuxiang@jlu.edu.cn; menglingquan@iga.ac.cn; gp@dlnu.edu.cn</t>
  </si>
  <si>
    <t>Wei, Hongxu/0000-0002-7108-5342</t>
  </si>
  <si>
    <t>National Natural Science Foundation of China [41971122, 41861017, 31771695]; Strategic Priority Research Program of Chinese Academy of Sciences [XDA23070503]; Fundamental Research Funds for the Central Universities [0919/140124, 0901-110109]</t>
  </si>
  <si>
    <t>National Natural Science Foundation of China(National Natural Science Foundation of China (NSFC)); Strategic Priority Research Program of Chinese Academy of Sciences(Chinese Academy of Sciences); Fundamental Research Funds for the Central Universities(Fundamental Research Funds for the Central Universities)</t>
  </si>
  <si>
    <t>Authors acknowledge editors and anonymous reviewers for their great contributions to the current form of this article. This study was funded by National Natural Science Foundation of China (grant numbers: 41971122, 41861017, 31771695), Strategic Priority Research Program of Chinese Academy of Sciences (grant number: XDA23070503), and Fundamental Research Funds for the Central Universities (grant numbers: 0919/140124, 0901-110109)</t>
  </si>
  <si>
    <t>10.1016/j.ufug.2022.127772</t>
  </si>
  <si>
    <t>6I3UM</t>
  </si>
  <si>
    <t>WOS:000886053300003</t>
  </si>
  <si>
    <t>Emotional responses in GBS</t>
  </si>
  <si>
    <t>Landscape strucutre</t>
  </si>
  <si>
    <t>Facial expression from social meda users</t>
  </si>
  <si>
    <t>cross-sectional (2020)</t>
  </si>
  <si>
    <t>Lyu, M; Meng, YM; Gao, WJ; Yu, YQ; Ji, X; Li, QY; Huang, GH; Sun, D</t>
  </si>
  <si>
    <t>Lyu, Mei; Meng, Yumeng; Gao, Weijun; Yu, Yiqing; Ji, Xiang; Li, Qingyu; Huang, Gonghu; Sun, Dong</t>
  </si>
  <si>
    <t>Measuring the perceptual features of coastal streets: a case study in Qingdao, China</t>
  </si>
  <si>
    <t>ENVIRONMENTAL RESEARCH COMMUNICATIONS</t>
  </si>
  <si>
    <t>coastal streets; street view image; semantic segmentation; physical features; cluster analysis; perceptual features</t>
  </si>
  <si>
    <t>INTERRATER RELIABILITY; VISUAL ENCLOSURE; URBAN TREES; BLUE SPACES; VIEW; GREEN; WALKABILITY; DESIGN; HEALTH; QUALITIES</t>
  </si>
  <si>
    <t>The coastal streets are the most attractive urban space, improving spatial quality and public perception of coastal streets is an important work of urban regeneration. The study used machine learning semantic segmentation, GIS and Semantic difference (SD) etc methods to obtain the spatial data and perceptual evaluation of coastal streets in Qingdao. Each of the six perceptual features, imageability, enclosure, human scale, transparency, complexity and nature, was taken as dependent variables and the corresponding physical features was taken as independent variables. The six regression models were established and the influence rules of spatial parameters on public perception were obtained. Meanwhile, based on the results of perceptual features evaluation, the overall coastal streets are divided into three types, open streets, mixed streets and biophilic streets. In all the three types coastal streets, the nature was the most significant perceptual feature due to the high greenness; the complexity was the lowest perceptual feature because of the low landscape diversity. The research results provided theoretical and technical support for the urban regeneration and spatial quality improvement of coastal streets in Qingdao.</t>
  </si>
  <si>
    <t>[Lyu, Mei; Meng, Yumeng] Shenyang Jianzhu Univ, Sch Art &amp; Design, Shenyang, Peoples R China; [Lyu, Mei; Gao, Weijun; Huang, Gonghu] Univ Kitakyushu, Fac Environm Engn, Kitakyushu, Fukuoka, Japan; [Gao, Weijun] Qingdao Univ Technol, ISMART, Qingdao, Peoples R China; [Yu, Yiqing; Ji, Xiang; Li, Qingyu; Sun, Dong] Shenyang Jianzhu Univ, Sch Architecture &amp; Urban Planning, Shenyang, Peoples R China</t>
  </si>
  <si>
    <t>Shenyang Jianzhu University; University of Kitakyushu; Qingdao University of Technology; Shenyang Jianzhu University</t>
  </si>
  <si>
    <t>Gao, WJ (corresponding author), Univ Kitakyushu, Fac Environm Engn, Kitakyushu, Fukuoka, Japan.;Gao, WJ (corresponding author), Qingdao Univ Technol, ISMART, Qingdao, Peoples R China.</t>
  </si>
  <si>
    <t>gaoweijun@me.com</t>
  </si>
  <si>
    <t>Lyu, Mei/HGT-7647-2022</t>
  </si>
  <si>
    <t>Lyu, Mei/0000-0002-6273-8487; Gao, Weijun/0000-0003-0299-3686; SUN, DONG/0000-0003-0151-6896; Xiang, Ji/0000-0001-8202-6914; Yumeng, Meng/0000-0001-5050-0271</t>
  </si>
  <si>
    <t>Project of Liaoning Provincial Department of Education [lnqn202027]</t>
  </si>
  <si>
    <t>Project of Liaoning Provincial Department of Education</t>
  </si>
  <si>
    <t>This study is supported by the Project of Liaoning Provincial Department of Education (Project No. lnqn202027). We thank the anonymous reviewers for their careful reading of our manuscript and many of their insightful comments.</t>
  </si>
  <si>
    <t>IOP Publishing Ltd</t>
  </si>
  <si>
    <t>BRISTOL</t>
  </si>
  <si>
    <t>TEMPLE CIRCUS, TEMPLE WAY, BRISTOL BS1 6BE, ENGLAND</t>
  </si>
  <si>
    <t>2515-7620</t>
  </si>
  <si>
    <t>ENVIRON RES COMMUN</t>
  </si>
  <si>
    <t>Environ. Res. Commun.</t>
  </si>
  <si>
    <t>NOV 1</t>
  </si>
  <si>
    <t>10.1088/2515-7620/ac9515</t>
  </si>
  <si>
    <t>5X1RB</t>
  </si>
  <si>
    <t>WOS:000878382400001</t>
  </si>
  <si>
    <t>Steet features, urban design, and preference for humans</t>
  </si>
  <si>
    <t>Analysis of streetview</t>
  </si>
  <si>
    <t>40 high level observers (30 masters, 10 professionals)</t>
  </si>
  <si>
    <t>Li, YJ; Sun, YX; Zhao, Y; Wang, Y; Cheng, SP</t>
  </si>
  <si>
    <t>Li, Yanjiao; Sun, Yuxiang; Zhao, Yan; Wang, Yang; Cheng, Shiping</t>
  </si>
  <si>
    <t>Mapping seasonal sentiments of people visiting blue spaces in urban wetlands: A pilot study on inland cities of China</t>
  </si>
  <si>
    <t>FRONTIERS IN ECOLOGY AND EVOLUTION</t>
  </si>
  <si>
    <t>urban wetland; blue space service; perceived restoration; mental wellbeing; sustainable development goal</t>
  </si>
  <si>
    <t>GREEN SPACES; ECOSYSTEM SERVICES; COASTAL PROXIMITY; PHYSICAL-ACTIVITY; HEALTH; ENVIRONMENTS; BIODIVERSITY; RESPONSES; EXPOSURE; BENEFITS</t>
  </si>
  <si>
    <t>To evoke positive human emotions is a critical goal of blue spaces in urban wetland parks. However, information is still scarce on how people self-express across the spatiotemporal spectrum when they come across wetlands which include varying levels of elevation in a single landscape and microclimate. In this study, 30 urban wetland parks were selected from 17 cities in Central China, where a total of 1,184 portrait photos of visitors were obtained from a social media platform (Sina Weibo) to analyze their expressed sentiments by rating facial expression scores of happy and sad emotions and net positive emotion index (NPE; happy-score minus sad-score) in 2020. Landscape metrics were remotely evaluated for every wetland park, and microclimatic factors were obtained for the days when the photos were taken. Based on regressions of park-level data, blue-space areas could be perceived as a positive driver to trigger happiness in spring (regression coefficient [RC] of 0.20), but it triggered negative emotions in autumn (RC of -2.98). The higher elevation areas triggered positive emotions in summer and autumn (RC of 1.35 x 10(-3)), but extreme daily temperature, air humidity, and wind velocity together triggered sadness (RC of 0.11, 0.03, and 0.51, respectively). Mapped distribution of the area and corresponding emotions showed that visiting blue space evoked more smiles in wetland parks of northern Hunan, southern Hubei, and eastern Anhui in spring. Blue spaces in Shanxi and northwestern Hebei evoked better moods in autumn. Smaller blue spaces in wetlands located at higher elevations were recommended for nature enthusiasts in warm seasons to overcome the prevalent sadness characteristic of that time of the year and location.</t>
  </si>
  <si>
    <t>[Li, Yanjiao; Cheng, Shiping] Pingdingshan Univ, Henan Key Lab Germplasm Innovat &amp; Utilizat Ecoecon, Pingdingshan, Peoples R China; [Li, Yanjiao] Pingdingshan Univ, Key Lab Value Realizat Ecol Prod Mt Rivers Forests, Pingdingshan, Peoples R China; [Sun, Yuxiang] Jilin Univ, Sch Business &amp; Management, Dept Human Resources Management, Changchun, Peoples R China; [Zhao, Yan] Henan Univ Sci &amp; Technol, Coll Hort &amp; Plant Protect, Luoyang, Peoples R China; [Wang, Yang] Beijing Forestry Univ, Sch Soil &amp; Water Conservat, Beijing, Peoples R China</t>
  </si>
  <si>
    <t>Pingdingshan University; Pingdingshan University; Jilin University; Henan University of Science &amp; Technology; Beijing Forestry University</t>
  </si>
  <si>
    <t>Sun, YX (corresponding author), Jilin Univ, Sch Business &amp; Management, Dept Human Resources Management, Changchun, Peoples R China.;Zhao, Y (corresponding author), Henan Univ Sci &amp; Technol, Coll Hort &amp; Plant Protect, Luoyang, Peoples R China.</t>
  </si>
  <si>
    <t>sunyuxiang@jlu.edu.cn; zhaoyanvip2008@163.com</t>
  </si>
  <si>
    <t>li, yanjiao/HGA-4591-2022</t>
  </si>
  <si>
    <t>2296-701X</t>
  </si>
  <si>
    <t>FRONT ECOL EVOL</t>
  </si>
  <si>
    <t>Front. Ecol. Evol.</t>
  </si>
  <si>
    <t>OCT 6</t>
  </si>
  <si>
    <t>10.3389/fevo.2022.969538</t>
  </si>
  <si>
    <t>Ecology</t>
  </si>
  <si>
    <t>5Q3NW</t>
  </si>
  <si>
    <t>WOS:000873743500001</t>
  </si>
  <si>
    <t>Facial expression when visiting wetlands, including seasonal analysis</t>
  </si>
  <si>
    <t>Analysis of Sina Weibo images</t>
  </si>
  <si>
    <t>Li, MS; Xue, F; Wu, YJ; Yeh, AGO</t>
  </si>
  <si>
    <t>Li, Maosu; Xue, Fan; Wu, Yijie; Yeh, Anthony G. O.</t>
  </si>
  <si>
    <t>A room with a view: Automatic assessment of window views for high-rise high-density areas using City Information Models and deep transfer learning</t>
  </si>
  <si>
    <t>Window view; View quality index; High-rise buildings; City information model; Deep learning; Urban computing</t>
  </si>
  <si>
    <t>STREET CANYONS; GREEN SPACE; BLUE SPACES; URBAN; HEALTH; PREFERENCE; WATER</t>
  </si>
  <si>
    <t>Every windowed room has a view, which reflects the visibility of nature and landscape and has a strong influence on the health, living satisfaction, and housing value of inhabitants. Thus, automatic accurate window view assessment is vital in examining neighborhood landscape and optimizing the social and physical settings for sustainable urban development. However, existing methods are labor-intensive, inaccurate, and non-scalable to assess window views in high-rise, high-density cities. This study aims to assess Window View Indices (WVIs) quantitatively and automatically by using a photo-realistic City Information Model (CIM). First, we define four WVIs to represent the outside (i) greenery, (ii) water-body, (iii) sky, and (iv) construction views quantitatively. Then, we propose a deep transfer learning method to estimate the WVIs for the window views captured in the CIM. Preliminary experimental tests in Wan Chai District, Hong Kong confirmed that our method was highly satisfactory (R2 &gt; 0.95) and fast (3.08 s per view), and the WVIs were accurate (RMSE &lt; 0.042). The proposed approach can be used in computing city-scale window views for landscape management, sustainable urban planning and design, and real estate valuation.</t>
  </si>
  <si>
    <t>[Li, Maosu; Yeh, Anthony G. O.] Univ Hong Kong, Dept Urban Planning &amp; Design, Pokfulam, Hong Kong, Peoples R China; [Xue, Fan; Wu, Yijie] Univ Hong Kong, Dept Real Estate &amp; Construction, Pokfulam, Hong Kong, Peoples R China</t>
  </si>
  <si>
    <t>University of Hong Kong; University of Hong Kong</t>
  </si>
  <si>
    <t>Xue, F (corresponding author), Univ Hong Kong, Dept Real Estate &amp; Construction, Pokfulam, Hong Kong, Peoples R China.</t>
  </si>
  <si>
    <t>xuef@hku.hk</t>
  </si>
  <si>
    <t>Xue, Fan/H-9198-2012</t>
  </si>
  <si>
    <t>Xue, Fan/0000-0003-2217-3693</t>
  </si>
  <si>
    <t>Hong Kong Research Grants Council (RGC) [27200520]; Guangdong-Hong Kong-Macau Joint Laboratory for Smart Cities of the 2020 Guangdong New Innovative Strategic Research Fund; Guangdong Science and Technology Department [2020B1212030009]</t>
  </si>
  <si>
    <t>Hong Kong Research Grants Council (RGC)(Hong Kong Research Grants Council); Guangdong-Hong Kong-Macau Joint Laboratory for Smart Cities of the 2020 Guangdong New Innovative Strategic Research Fund; Guangdong Science and Technology Department</t>
  </si>
  <si>
    <t>Acknowledgements The work presented in this study was supported in part by the Hong Kong Research Grants Council (RGC) under the Early Career Scheme (ECS) No. 27200520 and the Guangdong-Hong Kong-Macau Joint Laboratory for Smart Cities of the 2020 Guangdong New Innovative Strategic Research Fund, Guangdong Science and Technology Depart-ment (Project No.: 2020B1212030009)</t>
  </si>
  <si>
    <t>10.1016/j.landurbplan.2022.104505</t>
  </si>
  <si>
    <t>2Z0VF</t>
  </si>
  <si>
    <t>WOS:000826304100001</t>
  </si>
  <si>
    <t>Window View using City Information Modelling to assess view quality</t>
  </si>
  <si>
    <t>Assessment of window views</t>
  </si>
  <si>
    <t>No direct link</t>
  </si>
  <si>
    <t>Garrido-Cumbrera, M; Foley, R; Correa-Fernandez, J; Gonzalez-Marin, A; Brace, O; Hewlett, D</t>
  </si>
  <si>
    <t>Garrido-Cumbrera, Marco; Foley, Ronan; Correa-Fernandez, Jose; Gonzalez-Marin, Alicia; Brace, Olta; Hewlett, Denise</t>
  </si>
  <si>
    <t>The importance for wellbeing of having views of nature from and in the home during the COVID-19 pandemic. Results from the GreenCOVID study</t>
  </si>
  <si>
    <t>JOURNAL OF ENVIRONMENTAL PSYCHOLOGY</t>
  </si>
  <si>
    <t>Well-being; COVID-19 pandemic; Lockdown; Outdoors contact; Physical activity; Views</t>
  </si>
  <si>
    <t>MENTAL-HEALTH; IMPACTS; SPACE</t>
  </si>
  <si>
    <t>Introduction: The COVID-19 pandemic has influenced the daily lives of people and may affect their well-being. The aim of the present study is to assess well-being and associated factors during the first wave of the COVID-19 pandemic in the general population in three European countries. Methods: GreenCOVID was an observational cross-sectional study using an online survey (7 April 2020 to 24 July 2020) promoted by the Health &amp; Territory Research (HTR) of the University of Seville in Spain, Maynooth University in Ireland, and the University of Winchester in England, which included a sample of 3109 unselected adults. Well-being was measured using the World Health Organization-Five Well-Being Index (WHO-5) scale. Seven aspects, related to the natural environment of the home, were evaluated (role of outdoor views in coping with lockdown, importance of blue spaces during lockdown, importance of green spaces during lockdown, quality of view from home, use of outdoor spaces or window views, elements of nature in the home, and views of green or blue spaces from home). Binary logistic regression was conducted to identify the parameters associated with poor well-being. Results: Mean age was 39.7 years and 79.3% lived in Spain, the majority in urban areas (92.8%). 73.0% were female and 72.0% had undertaken university studies. Poor well-being was reported by 59.0%, while 26.6% indicated the possible presence of clinical depression. The factors most associated with poor well-being were students (OR = 1.541), those who had no engagement in physical activity (OR = 1.389), those who reported 'living in Spain' compared to Ireland (OR = 0.724), being female (OR = 1.256), poor quality views from home (OR = 0.887), less benefit from views of the natural environment to cope with lockdown (OR = 0.964), and those younger in age (OR = 0.990). Conclusions: More than half of participants reported poor well-being and one in four indicated the possible presence of clinical depression during the first wave of the COVID-19 pandemic. We identified that belonging to a younger age cohort, being a student, being female, not being able to continue with daily pursuits such as physical activity, and having poorer quality of views from home led to poor well-being among participants. Our study highlights the importance of continued physical activity and views of nature to improve the well-being of in-dividuals during times of crisis such as the COVID-19 pandemic.</t>
  </si>
  <si>
    <t>[Garrido-Cumbrera, Marco; Correa-Fernandez, Jose; Gonzalez-Marin, Alicia; Brace, Olta] Univ Seville, HTR, Seville, Spain; [Foley, Ronan] Maynooth Univ, Dept Geog, Maynooth W23 HW31, Kildare, Ireland; [Hewlett, Denise] Univ Winchester, PeopleScapes Res Grp, Winchester, Hants, England</t>
  </si>
  <si>
    <t>University of Sevilla; Maynooth University; University of Winchester</t>
  </si>
  <si>
    <t>Garrido-Cumbrera, M (corresponding author), Univ Seville, Dept Phys Geog &amp; Reg Geog Anal, HTR, Calle Do na Maria de Padilla S-N, Seville 41004, Spain.</t>
  </si>
  <si>
    <t>mcumbrera@us.es</t>
  </si>
  <si>
    <t>; Hewlett, Denise/D-3368-2017</t>
  </si>
  <si>
    <t>Gonzalez-Marin, Alicia/0000-0001-7237-8238; Hewlett, Denise/0000-0001-7452-6484</t>
  </si>
  <si>
    <t>ACADEMIC PRESS LTD- ELSEVIER SCIENCE LTD</t>
  </si>
  <si>
    <t>24-28 OVAL RD, LONDON NW1 7DX, ENGLAND</t>
  </si>
  <si>
    <t>0272-4944</t>
  </si>
  <si>
    <t>1522-9610</t>
  </si>
  <si>
    <t>J ENVIRON PSYCHOL</t>
  </si>
  <si>
    <t>J. Environ. Psychol.</t>
  </si>
  <si>
    <t>10.1016/j.jenvp.2022.101864</t>
  </si>
  <si>
    <t>SEP 2022</t>
  </si>
  <si>
    <t>Environmental Studies; Psychology, Multidisciplinary</t>
  </si>
  <si>
    <t>Environmental Sciences &amp; Ecology; Psychology</t>
  </si>
  <si>
    <t>4W0OT</t>
  </si>
  <si>
    <t>Green Published</t>
  </si>
  <si>
    <t>WOS:000859867700003</t>
  </si>
  <si>
    <t xml:space="preserve">WHO-5 scale results and 7 metrics, including views. </t>
  </si>
  <si>
    <r>
      <t xml:space="preserve">Online survey assessing </t>
    </r>
    <r>
      <rPr>
        <b/>
        <sz val="10"/>
        <rFont val="Arial"/>
        <family val="2"/>
      </rPr>
      <t>World Health Organization-Five Well-Being Index (WHO-5) scaleWorld Health Organization-Five Well-Being Index (WHO-5) scale</t>
    </r>
  </si>
  <si>
    <t>cross-sectional</t>
  </si>
  <si>
    <t>Spain/Ireland/England</t>
  </si>
  <si>
    <t>Klompmaker, JO; Laden, F; Browning, MHEM; Dominici, F; Ogletree, SS; Rigolon, A; James, P</t>
  </si>
  <si>
    <t>Klompmaker, Jochem O.; Laden, Francine; Browning, Matthew H. E. M.; Dominici, Francesca; Ogletree, S. Scott; Rigolon, Alessandro; James, Peter</t>
  </si>
  <si>
    <t>Associations of parks, greenness, and blue space with cardiovascular and respiratory disease hospitalization in the US Medicare cohort</t>
  </si>
  <si>
    <t>ENVIRONMENTAL POLLUTION</t>
  </si>
  <si>
    <t>Built environment; Cardiorespiratory health; Nature</t>
  </si>
  <si>
    <t>AIR-POLLUTION; GREENSPACE; RESOLUTION; MORTALITY</t>
  </si>
  <si>
    <t>Natural environments have been linked to decreased risk of cardiovascular disease (CVD) and respiratory disease (RSD) mortality. However, few cohort studies have looked at associations of natural environments with CVD or RSD hospitalization. The aim of this study was to evaluate these associations in a cohort of U.S. Medicare beneficiaries (similar to 63 million individuals). Our open cohort included all fee-for-service Medicare beneficiaries (2000-2016), aged &gt;= 65, living in the contiguous U.S. We assessed zip code-level park cover based on the United States Geological Survey Protected Areas Database, average greenness (Normalized Difference Vegetation Index, NDVI), and percent blue space cover based on Landsat satellite images. Cox-equivalent Poisson models were used to estimate associations of the exposures with first CVD and RSD hospitalization in the full cohort and among those living in urban zip codes (&gt;= 1000 persons/mile(2)). NDVI was weakly negatively correlated with percent park cover (Spearman rho = -0.23) and not correlated with percent blue space (Spearman rho = 0.00). After adjustment for potential confounders, percent park cover was not associated with CVD or RSD hospitalization in the full or urban population. An IQR (0.27) increase in NDVI was negatively associated with CVD (HR: 0.97, 95%CI: 0.96, 0.97), but not with RSD hospitalization (HR: 0.99, 95%CI: 0.98, 1.00). In urban zip codes, an IQR increase in NDVI was positively associated with RSD hospitalization (HR: 1.02, 95%CI: 1.00, 1.03). In stratified analyses, percent park cover was negatively associated with CVD and RSD hospitalization for Medicaid eligible individuals and individuals living in low socioeconomic status neighborhoods in the urban population. We observed no associations of percent blue space cover with CVD or RSD hospitalization. This study suggests that natural environments may benefit cardiorespiratory health; however, benefits may be limited to certain contexts and certain health outcomes.</t>
  </si>
  <si>
    <t>[Klompmaker, Jochem O.; Laden, Francine; James, Peter] Landmark Ctr, Harvard T H Chan Sch Publ Hlth, Dept Environm Hlth, 401 Pk Dr, Boston, MA 02115 USA; [Klompmaker, Jochem O.; Laden, Francine] Brigham &amp; Womens Hosp, Dept Med, Channing Div Network Med, Boston, MA 02115 USA; [Laden, Francine] Harvard T H Chan Sch Publ Hlth, Dept Epidemiol, 181 Longwood Ave, Boston, MA 02115 USA; [Browning, Matthew H. E. M.] Clemson Univ, Dept Pk Recreat &amp; Tourism Management, Clemson, SC 29634 USA; [Dominici, Francesca] Harvard TH Chan Sch Publ Hlth, Dept Biostat, Boston, MA 02115 USA; [Ogletree, S. Scott] Univ Edinburgh, OPENspace Res Ctr, Sch Architecture &amp; Landscape Architecture, Edinburgh, Scotland; [Rigolon, Alessandro] Univ Utah, Dept City &amp; Metropolitan Planning, 375 South 1530 East, Salt Lake City, UT 84112 USA; [James, Peter] Harvard Pilgrim Hlth Care Inst, Harvard Med Sch, Dept Populat Med, Boston, MA 02215 USA</t>
  </si>
  <si>
    <t>Harvard University; Harvard T.H. Chan School of Public Health; Harvard University; Brigham &amp; Women's Hospital; Harvard University; Harvard T.H. Chan School of Public Health; Clemson University; Harvard University; Harvard T.H. Chan School of Public Health; 1EUROPE; University of Edinburgh; Utah System of Higher Education; University of Utah; Harvard Pilgrim Health Care; Harvard University; Harvard Medical School</t>
  </si>
  <si>
    <t>Klompmaker, JO (corresponding author), Landmark Ctr, Harvard T H Chan Sch Publ Hlth, Dept Environm Hlth, 401 Pk Dr, Boston, MA 02115 USA.;Klompmaker, JO (corresponding author), Brigham &amp; Womens Hosp, Dept Med, Channing Div Network Med, Boston, MA 02115 USA.</t>
  </si>
  <si>
    <t>jklompmaker@hsph.harvard.edu</t>
  </si>
  <si>
    <t>; Browning, Matthew/D-2111-2014</t>
  </si>
  <si>
    <t>James, Peter/0000-0002-2858-1973; Ogletree, Scott/0000-0002-2607-6017; Browning, Matthew/0000-0003-2296-7602</t>
  </si>
  <si>
    <t>National Institute of Environmental Health Sciences [R01 ES028033, R01 ES028033-S1, R01 ES026217, 1R01 ES030616, 1R01 ES029950, P30 ES000002]; National Heart, Lung and Blood Institute [R01 HL150119]; National Institute on Aging [5R01 AG060232-03, 1R01 AG066793, 3R01 AG066793-02S1, 1RF1 AG071024, 1RF1 AG074372-01A1]; National Institute of Environmental Health Sciences [R01 ES028033, R01 ES028033-S1, R01 ES026217, 1R01 ES030616, 1R01 ES029950, P30 ES000002]; National Heart, Lung and Blood Institute [R01 HL150119]; National Institute on Aging [5R01 AG060232-03, 1R01 AG066793, 3R01 AG066793-02S1, 1RF1 AG071024, 1RF1 AG074372-01A1]; National Institute on minority Health and Health Disparities [R01 ES028033];  [R01 MD012769]</t>
  </si>
  <si>
    <t xml:space="preserve">National Institute of Environmental Health Sciences(United States Department of Health &amp; Human ServicesNational Institutes of Health (NIH) - USANIH National Institute of Environmental Health Sciences (NIEHS)); National Heart, Lung and Blood Institute(United States Department of Health &amp; Human ServicesNational Institutes of Health (NIH) - USANIH National Heart Lung &amp; Blood Institute (NHLBI)); National Institute on Aging(United States Department of Health &amp; Human ServicesNational Institutes of Health (NIH) - USANIH National Institute on Aging (NIA)); National Institute of Environmental Health Sciences(United States Department of Health &amp; Human ServicesNational Institutes of Health (NIH) - USANIH National Institute of Environmental Health Sciences (NIEHS)); National Heart, Lung and Blood Institute(United States Department of Health &amp; Human ServicesNational Institutes of Health (NIH) - USANIH National Heart Lung &amp; Blood Institute (NHLBI)); National Institute on Aging(United States Department of Health &amp; Human ServicesNational Institutes of Health (NIH) - USANIH National Institute on Aging (NIA)); National Institute on minority Health and Health Disparities(United States Department of Health &amp; Human ServicesNational Institutes of Health (NIH) - USANIH National Institute on Minority Health &amp; Health Disparities (NIMHD)); </t>
  </si>
  <si>
    <t>This study was supported by the National Institute of Environmental Health Sciences (R01 ES028033, R01 ES028033-S1, R01 ES026217, 1R01 ES030616, 1R01 ES029950, P30 ES000002), the National Heart, Lung and Blood Institute (R01 HL150119), the National Institute on Aging (5R01 AG060232-03, 1R01 AG066793, 3R01 AG066793-02S1, 1RF1 AG071024, 1RF1 AG074372-01A1), and the National Institute on minority Health and Health Disparities (R01 MD012769).</t>
  </si>
  <si>
    <t>0269-7491</t>
  </si>
  <si>
    <t>1873-6424</t>
  </si>
  <si>
    <t>ENVIRON POLLUT</t>
  </si>
  <si>
    <t>Environ. Pollut.</t>
  </si>
  <si>
    <t>10.1016/j.envpol.2022.120046</t>
  </si>
  <si>
    <t>5A4JL</t>
  </si>
  <si>
    <t>Green Published, hybrid, Green Accepted</t>
  </si>
  <si>
    <t>WOS:000862854900003</t>
  </si>
  <si>
    <t>How association with natural enrionments can decrease CVD and RSD</t>
  </si>
  <si>
    <t>Medical Records</t>
  </si>
  <si>
    <t>cohort case</t>
  </si>
  <si>
    <t>Chen, CH; Guo, P</t>
  </si>
  <si>
    <t>Chen, Changhong; Guo, Peng</t>
  </si>
  <si>
    <t>Can Indoor Residents Perceive Green and Blue Spaces in Communities as Posted Sentiments? A Verification in Nanchang</t>
  </si>
  <si>
    <t>private infrastructure; green and blue spaces; human health and well-being; facial expressions; perception of satisfaction</t>
  </si>
  <si>
    <t>URBAN; BIODIVERSITY</t>
  </si>
  <si>
    <t>Ecological infrastructures (EIs), such as public and urban green and blue spaces (GBSs), have been well demonstrated to benefit visitors' mental well-being. Experiences in community GBSs may also evoke positive emotions for their residents. In this study, 54 communities in Nanchang were chosen as objective sites, where landscape metrics of GBSs were remotely evaluated. A total of 2105 local residents' facial expressions (with happy, sad, and neutral emotions) were obtained from Sina Weibo. Inhabitants showed more net positive emotions (happy minus sad) in cold seasons, and females smiled more frequently than males. Newly constructed communities with houses for sale had larger areas of normalized difference vegetation index (NDVI) and built-up index compared to communities with no houses for sale. Neither the availability of houses for sale nor housing price had any effect on facial expression scores. Poisson regression revealed significant coefficients (beta) of positive emotions with largeness of green space (GS) and blue space (BS). Overall, BS had a stronger contribution (beta, 0.6-1.1) to residents showing positive emotions relative to GS (beta, -2.45-0.89), whose area ratio of NDVI increased the frequency of showing happiness. We recommend constructing GBSs with over 0.68 km(2) of GS and over 2000 m(2) of BS per community, where the area ratio of GS should be more than 70% of the total if the goal is to evoke more happiness in residents.</t>
  </si>
  <si>
    <t>[Chen, Changhong] Jiangxi Normal Univ, Coll City Construct, Nanchang 330022, Jiangxi, Peoples R China; [Guo, Peng] Dalian Minzu Univ, Coll Environm &amp; Bioresources, Dalian 116600, Peoples R China</t>
  </si>
  <si>
    <t>Jiangxi Normal University; Dalian Minzu University</t>
  </si>
  <si>
    <t>Guo, P (corresponding author), Dalian Minzu Univ, Coll Environm &amp; Bioresources, Dalian 116600, Peoples R China.</t>
  </si>
  <si>
    <t>gp@dlnu.edu.cn</t>
  </si>
  <si>
    <t>peng, guo/0000-0001-7858-4884</t>
  </si>
  <si>
    <t>National Natural Science Foundation of China [31771695]; Fundamental Research Funds for the Central Universities (Program for Ecology Research) [0901-110109]</t>
  </si>
  <si>
    <t>National Natural Science Foundation of China(National Natural Science Foundation of China (NSFC)); Fundamental Research Funds for the Central Universities (Program for Ecology Research)</t>
  </si>
  <si>
    <t>This study was funded by the National Natural Science Foundation of China (grant number: 31771695) and the Fundamental Research Funds for the Central Universities (Program for Ecology Research) (grant number: 0901-110109).</t>
  </si>
  <si>
    <t>10.3390/f13091421</t>
  </si>
  <si>
    <t>4T7TM</t>
  </si>
  <si>
    <t>WOS:000858314500001</t>
  </si>
  <si>
    <t>Facial expression in gbs</t>
  </si>
  <si>
    <t>Yes, NVDI</t>
  </si>
  <si>
    <t>Facial expressions from sine weibo images</t>
  </si>
  <si>
    <t>Quantitative</t>
  </si>
  <si>
    <t>Bergou, N; Hammoud, R; Smythe, M; Gibbons, J; Davidson, N; Tognin, S; Reeves, G; Shepherd, J; Mechelli, A</t>
  </si>
  <si>
    <t>Bergou, Nicol; Hammoud, Ryan; Smythe, Michael; Gibbons, Jo; Davidson, Neil; Tognin, Stefania; Reeves, Graeme; Shepherd, Jenny; Mechelli, Andrea</t>
  </si>
  <si>
    <t>The mental health benefits of visiting canals and rivers: An ecological momentary assessment study</t>
  </si>
  <si>
    <t>PLOS ONE</t>
  </si>
  <si>
    <t>LONG-TERM EXPOSURE; BLUE SPACE; RESIDENTIAL GREEN; DEPRESSION</t>
  </si>
  <si>
    <t>Existing evidence shows positive effects of being in nature on wellbeing, but we know little about the mental health benefits of spending time near canals and rivers specifically. This study investigates the association between visits to canals and rivers and mental wellbeing. We addressed the following questions: Are visits to canals and rivers associated with higher levels of mental wellbeing? Does this association depend on age and gender? Does this association vary between people with and without a diagnosis on mental illness? We used Urban Mind, a flexible smartphone application for examining the impact of different aspects of the built and social environment on mental wellbeing, a strong predictor of mental health. Participants were invited to complete an ecological momentary assessment three times a day for fourteen days. Each assessment included questions about their surrounding environment and mental wellbeing. A total of 7,975 assessments were completed by 299 participants including 87 with a diagnosis of mental illness. Multilevel regression models were used to analyse the data. We found positive associations between visits to canals and rivers and mental wellbeing (p &lt; .05) when compared to being anywhere else and when compared to being in green spaces. Increases in mental wellbeing were still evident after the visit had taken place. These effects remained significant after adjusting for age, gender, ethnicity and education, and were consistent in people with and without a diagnosis of mental illness. Spending time near canals and rivers is associated with better mental wellbeing. These findings have potential implications for mental health as well as urban planning and policy. Visits to canals and rivers could become part of social prescribing schemes, playing a role in preventing mental health difficulties and complementing more traditional interventions.</t>
  </si>
  <si>
    <t>[Bergou, Nicol; Hammoud, Ryan; Tognin, Stefania; Mechelli, Andrea] Kings Coll London, Inst Psychiat Psychol &amp; Neurosci, Dept Psychosis Studies, London, England; [Smythe, Michael] Nomad Projects, London, England; [Gibbons, Jo; Davidson, Neil] J&amp;L Gibbons, United, London, England; [Reeves, Graeme; Shepherd, Jenny] Canal &amp; River Trust, Northwich, Cheshire, England</t>
  </si>
  <si>
    <t>University of London; King's College London</t>
  </si>
  <si>
    <t>Mechelli, A (corresponding author), Kings Coll London, Inst Psychiat Psychol &amp; Neurosci, Dept Psychosis Studies, London, England.</t>
  </si>
  <si>
    <t>a.mechelli@kcl.ac.uk</t>
  </si>
  <si>
    <t>Mechelli, Andrea/0000-0002-6770-2934; Bergou, Nicol/0000-0002-2408-1226</t>
  </si>
  <si>
    <t>Medical Research Council (MRC) [MR/S026428/1]; National Institute for Health and Care Research (NIHR) Biomedical Research Centre at South London and Maudsley NHS Foundation Trust and King's College London; Canal &amp; River Trust (CRT)</t>
  </si>
  <si>
    <t>Medical Research Council (MRC)(UK Research &amp; Innovation (UKRI)Medical Research Council UK (MRC)); National Institute for Health and Care Research (NIHR) Biomedical Research Centre at South London and Maudsley NHS Foundation Trust and King's College London; Canal &amp; River Trust (CRT)</t>
  </si>
  <si>
    <t>This study was supported by a grant from The Medical Research Council (MRC; https://www.ukri.org/councils/mrc/) (grant number MR/S026428/1) awarded to AM and ST. This study was also supported by a the The National Institute for Health and Care Research (NIHR) Biomedical Research Centre at South London and Maudsley NHS Foundation Trust and King's College London (https://www.maudsleybrc.nihr.ac.uk) awarded to AM. Finally, the study was also supported by The Canal &amp; River Trust (CRT; https://canalrivertrust.org.uk/) awarded to JG and ND. Jenny Shepherd (CRT) and Graham Reeves (CRT) provided feedback on the study design and preparation of the manuscript. No other funders had any role in study design, data collection and analysis, decision to publish, or preparation of the manuscript.</t>
  </si>
  <si>
    <t>PUBLIC LIBRARY SCIENCE</t>
  </si>
  <si>
    <t>SAN FRANCISCO</t>
  </si>
  <si>
    <t>1160 BATTERY STREET, STE 100, SAN FRANCISCO, CA 94111 USA</t>
  </si>
  <si>
    <t>1932-6203</t>
  </si>
  <si>
    <t>PLoS One</t>
  </si>
  <si>
    <t>AUG 31</t>
  </si>
  <si>
    <t>e0271306</t>
  </si>
  <si>
    <t>10.1371/journal.pone.0271306</t>
  </si>
  <si>
    <t>6R5UO</t>
  </si>
  <si>
    <t>WOS:000892368200012</t>
  </si>
  <si>
    <t>Mental health assessments associated with blue space</t>
  </si>
  <si>
    <t>Yes (location)</t>
  </si>
  <si>
    <t>Urban Mind App with online surveys</t>
  </si>
  <si>
    <t>cross-sectional (2 weeks)</t>
  </si>
  <si>
    <t>England (London)</t>
  </si>
  <si>
    <t>Brito, H; Brymer, E; Araujo, D</t>
  </si>
  <si>
    <t>Brito, Henrique; Brymer, Eric; Araujo, Duarte</t>
  </si>
  <si>
    <t>An ecological dynamics perspective on designing urban nature environments for wellbeing and health-enhancing physical activity</t>
  </si>
  <si>
    <t>FRONTIERS IN PUBLIC HEALTH</t>
  </si>
  <si>
    <t>ecological dynamics; affordances; wellbeing; physical activity; urban nature environments; urban park design</t>
  </si>
  <si>
    <t>GREEN SPACE; AFFORDANCES; ASSOCIATION; PARKS; END; LANDSCAPE; EXERCISE; BENEFITS; DISEASE; OFFICE</t>
  </si>
  <si>
    <t>The latest World Health Organization report on green and blue space and mental health (2021) calls for greater, and better, urban nature environments, i. e., wilder urban parks, tree-laden sidewalks, and overall presence of nature in the urban environment. Evidence shows that living close to and interacting with nature promotes benefits to numerous health and well-being indicators. The present article narratively reviews what are the aspects of urban nature environments that enhance health and wellbeing markers, which aspects are preferred among users and visitors of urban nature environments, and how can the benefits for health and wellbeing be understood from a theoretical perspective. Finally, guided by the ecological dynamics framework, suggestions are put forward on how designers and planners of urban nature environments can consider affordances to promote physical activity behavior, health and wellbeing; and how exercise and health researchers and professionals may channel the interaction of individuals with the nature environment in their interventions and programs.</t>
  </si>
  <si>
    <t>[Brito, Henrique; Araujo, Duarte] Univ Lisbon, Fac Motricidade Humana, CIPER, Lisbon, Portugal; [Brymer, Eric] Southern Cross Univ, Fac Hlth, Lismore, NSW, Australia</t>
  </si>
  <si>
    <t>Universidade de Lisboa; Southern Cross University</t>
  </si>
  <si>
    <t>Brito, H (corresponding author), Univ Lisbon, Fac Motricidade Humana, CIPER, Lisbon, Portugal.</t>
  </si>
  <si>
    <t>hbrito@e-fmh.ulisboa.pt</t>
  </si>
  <si>
    <t>Brymer, Eric/ACD-4590-2022; Brito, Henrique/AHB-3254-2022; Araújo, Duarte/F-4161-2011</t>
  </si>
  <si>
    <t>Brymer, Eric/0000-0003-0274-1016; Brito, Henrique/0000-0001-9387-5559; Araújo, Duarte/0000-0001-7932-3192</t>
  </si>
  <si>
    <t>Fundacao para a Ciencia e a Tecnologia [UIDB/00447/2020, SFRH/BD/147966/2019]; Fundação para a Ciência e a Tecnologia [SFRH/BD/147966/2019] Funding Source: FCT</t>
  </si>
  <si>
    <t>Fundacao para a Ciencia e a Tecnologia(Fundacao para a Ciencia e a Tecnologia (FCT)); Fundação para a Ciência e a Tecnologia(Fundacao para a Ciencia e a Tecnologia (FCT))</t>
  </si>
  <si>
    <t>HB and DA were partly funded by the Fundacao para a Ciencia e a Tecnologia [grant numbers UIDB/00447/2020, SFRH/BD/147966/2019, and UIDB/00477/2020 awarded to CIPER- Centro Interdisciplinar para o Estudo da Performance Humana (unit 447)].</t>
  </si>
  <si>
    <t>2296-2565</t>
  </si>
  <si>
    <t>FRONT PUBLIC HEALTH</t>
  </si>
  <si>
    <t>Front. Public Health</t>
  </si>
  <si>
    <t>JUL 27</t>
  </si>
  <si>
    <t>10.3389/fpubh.2022.877208</t>
  </si>
  <si>
    <t>3R2IM</t>
  </si>
  <si>
    <t>gold, Green Published</t>
  </si>
  <si>
    <t>WOS:000838742300001</t>
  </si>
  <si>
    <t>Lit review on what is preferred in UNE, proposal for a ecological dynamics framework</t>
  </si>
  <si>
    <t>None</t>
  </si>
  <si>
    <t>Phillips, BB; Burgess, K; Willis, C; Gaston, KJ</t>
  </si>
  <si>
    <t>Phillips, Benjamin B.; Burgess, Katherine; Willis, Cheryl; Gaston, Kevin J.</t>
  </si>
  <si>
    <t>Monitoring public engagement with nature using Google Trends</t>
  </si>
  <si>
    <t>conservation culturomics; cultural ecosystem services; Google Trends; greenspace; iEcology; outdoor recreation; search engine</t>
  </si>
  <si>
    <t>CULTURAL ECOSYSTEM SERVICES; BIG DATA</t>
  </si>
  <si>
    <t>How humans interact with nature affects the health of both people and ecosystems. Yet, long-term data on nature engagement are scarce because traditional survey methods are expensive, time consuming and require commitment over multiple years. Digital data sources (e.g. aggregated data from online searches) have major potential as a supplementary source of information and, in the absence of available data, as a proxy for more direct measurement of nature engagement. Using Google Trends, we created a list of refined and relevant search terms relating to diverse outdoor spaces and activities. We then compared trends in Google search volumes in England across both a 1-year and 10-year period to those from Google Community Mobility Reports, and from nationally representative survey data (Natural England's People and Nature Survey and the Monitor of Engagement with the Natural Environment). Search, survey and mobility data all support a general increase in public engagement with nature since 2009, and a more substantial increase during, or following, the initial national 'lockdown' period of the COVID-19 pandemic in England. Search volumes increased for many urban and rural outdoor green spaces (e.g. woodlands), blue spaces (e.g. reservoirs), exercise activities (e.g. walking, running and hiking) and explicitly nature-based activities (e.g. fishing, wild swimming and encouraging wildlife). Overall, volumes of Google searches were more closely related with longer-term (10-year) trends from survey data, than shorter-term changes during the COVID-19 pandemic. There were statistically significant relationships between search volumes, survey data (self-reported past behaviour) and mobility data (movement trends) for around half of comparisons. Of these, an average of 13-44% of variation in the data was explained. The findings show that Google Trends provides valuable information about public engagement with nature, which can help to supplement existing survey data by providing new insights about behavioural trends. The paper also provides a proof of concept for using Google Trends to understand changes in public engagement with nature, which could be applied to the many countries that lack long-term survey monitoring. Read the free Plain Language Summary for this article on the Journal blog.</t>
  </si>
  <si>
    <t>[Phillips, Benjamin B.; Gaston, Kevin J.] Univ Exeter, Environm &amp; Sustainabil Inst, Penryn, England; [Burgess, Katherine; Willis, Cheryl] Nat England, Nobel House, London, England</t>
  </si>
  <si>
    <t>University of Exeter</t>
  </si>
  <si>
    <t>Phillips, BB (corresponding author), Univ Exeter, Environm &amp; Sustainabil Inst, Penryn, England.</t>
  </si>
  <si>
    <t>b.b.phillips@exeter.ac.uk</t>
  </si>
  <si>
    <t>Willis, Cheryl/0000-0002-8909-8424; Gaston, Kevin J./0000-0002-7235-7928</t>
  </si>
  <si>
    <t>Cornwall Area of Outstanding Natural Beauty Unit; Natural Environment Research Council [NE/L002434/1]</t>
  </si>
  <si>
    <t>Cornwall Area of Outstanding Natural Beauty Unit; Natural Environment Research Council(UK Research &amp; Innovation (UKRI)Natural Environment Research Council (NERC))</t>
  </si>
  <si>
    <t>Cornwall Area of Outstanding Natural Beauty Unit; Natural Environment Research Council, Grant/Award Number: NE/L002434/1</t>
  </si>
  <si>
    <t>10.1002/pan3.10381</t>
  </si>
  <si>
    <t>JUL 2022</t>
  </si>
  <si>
    <t>5J0PZ</t>
  </si>
  <si>
    <t>WOS:000821502700001</t>
  </si>
  <si>
    <t>Public engagement with nature</t>
  </si>
  <si>
    <t>Public engangement assesed through digital archives, google trends, national survey data and mobility data</t>
  </si>
  <si>
    <t>Longitudinal</t>
  </si>
  <si>
    <t>England</t>
  </si>
  <si>
    <t>Knight, SJ; McClean, CJ; White, PCL</t>
  </si>
  <si>
    <t>Knight, Sarah J.; McClean, Colin J.; White, Piran C. L.</t>
  </si>
  <si>
    <t>The importance of ecological quality of public green and blue spaces for subjective well-being</t>
  </si>
  <si>
    <t>Biodiversity; Greenspace; Bluespace; Nature; Well-being; BHPS</t>
  </si>
  <si>
    <t>MENTAL-HEALTH; URBAN; BIODIVERSITY; ENVIRONMENTS; EXPOSURE; HAPPIER</t>
  </si>
  <si>
    <t>There is now considerable evidence that the natural environment provides health and well-being benefits in urban environments. However, little is understood about the role of ecological quality in maximising well-being gains. We examine the relationship between the accessibility of public natural spaces of high ecological quality and two measures of subjective well-being for adults, using the British Household Panel Survey (BHPS), a large, longitudinal panel dataset. We then compare this relationship with that found with all Public Open Spaces, regardless of their ecological quality. We use the designation of Sites of Importance for Nature Conservation (SINC) as an objective indication of high-quality green-or bluespace, and life satisfaction and mental distress as measures of well-being. We use the Areas of Deficiency dataset from Greenspace Information for Greater London CIC (GiGL) to identify residential areas with more than a 1 km walk from a SINC, based on actual walking routes from known access points. Postcode-level analysis using regression modelling reveals that living beyond a 1 km walk of a SINC decreases an individual's life satisfaction by 0.117 points on a scale of 1 to 7. No relationship is found for mental distress. We also do not find any significant relationship between either well-being measure and all Public Open Spaces. These findings suggest that the ecological quality of publicly accessible open spaces is important for the well-being of residents in Greater London and highlights the need for improving the provision of high-quality green-and bluespaces in urban areas.</t>
  </si>
  <si>
    <t>[Knight, Sarah J.; McClean, Colin J.; White, Piran C. L.] Univ York, Environm &amp; Geog Dept, York, England; [Knight, Sarah J.] Univ York, Environm &amp; Geog Dept, Wentworth Way, York YO10 5NG, England</t>
  </si>
  <si>
    <t>University of York - UK; University of York - UK</t>
  </si>
  <si>
    <t>Knight, SJ (corresponding author), Univ York, Environm &amp; Geog Dept, Wentworth Way, York YO10 5NG, England.</t>
  </si>
  <si>
    <t>sarah.knight@york.ac.uk</t>
  </si>
  <si>
    <t>Knight, Sarah/0000-0002-9977-8810</t>
  </si>
  <si>
    <t>Economic and Social Research Council [1500484, ES/W005883/1]</t>
  </si>
  <si>
    <t>Economic and Social Research Council(UK Research &amp; Innovation (UKRI)Economic &amp; Social Research Council (ESRC))</t>
  </si>
  <si>
    <t>Acknowledgements This work was supported by the Economic and Social Research Council who funded a doctoral studentship [1500484] and fellowship [ES/W005883/1] . We thank the whole Greenspace Information for Greater London CIC (GiGL) team for access to the modelled data. We give special thanks to Emma Knowles (GiGL) for her advice and support on the modelled data and methodology. Finally, we thank Emma Knowles, Tanvi Desai (GiGL) , Amy Palmer -Newton (GiGL) and two anonymous reviewers for their comments on previous versions of the manuscript.</t>
  </si>
  <si>
    <t>10.1016/j.landurbplan.2022.104510</t>
  </si>
  <si>
    <t>3A4XU</t>
  </si>
  <si>
    <t>Green Accepted, hybrid</t>
  </si>
  <si>
    <t>WOS:000827265400002</t>
  </si>
  <si>
    <t>Walking distance from SNCI</t>
  </si>
  <si>
    <t>Yes (GIS routefinder)</t>
  </si>
  <si>
    <t>British Household Panel Survey and proximity to HQ GBS using SNCI as a proxy</t>
  </si>
  <si>
    <t>Longitudinal/Cross</t>
  </si>
  <si>
    <t>Jo, T; Sato, M; Minamoto, T; Ushimaru, A</t>
  </si>
  <si>
    <t>Jo, Toshiaki; Sato, Masayuki; Minamoto, Toshifumi; Ushimaru, Atushi</t>
  </si>
  <si>
    <t>Valuing the cultural services from urban blue-space ecosystems in Japanese megacities during the COVID-19 pandemic</t>
  </si>
  <si>
    <t>blue space; COVID-19; cultural service; pandemic; urban ecosystems</t>
  </si>
  <si>
    <t>HEALTH; WATER; EXPERIENCE; BENEFITS; IMPACTS; VISITS</t>
  </si>
  <si>
    <t>The COVID-19 pandemic is an outstanding global threat for both human health and well-being. Under the pandemic, green spaces are known to mitigate the physical/mental stress of urban people. However, it remains unclarified how blue spaces such as coastal and river areas play a role in healing urban people's health and well-being during the pandemic. Here, conducting an online-based survey in Japanese megacities, with 5756 responses received from residents of Tokyo, Yokohama, Osaka and Kobe, we examined the effects of personal characteristics of city residents on their visitation frequencies to blue spaces during and after the emergency periods, and compared visitation purposes and motivation between the coastal and river areas. Cumulative linear modelling revealed that people with more nature experiences in childhood and higher satisfaction of neighbourhood coasts and rivers visited urban blue spaces more frequently. In addition, those who lived with pre-school and primary school children also visited urban blue spaces more frequently than those without, likely for letting them play in blue spaces. These people primarily visited them to decrease their stress and to maintain their health by contacting with nature while keeping social distance to avoid being infected. Moreover, the visitation purpose and motivation partly differed between the coastal and river areas, which could be explained by the accessibility to and perception of blue spaces for urban people. The present study implies that, as well as green spaces, blue spaces provided places that people in urban areas could use to mitigate their stress and disorder during the pandemic. Our findings underpin the necessity of preserving both of them in urban planning for further benefits relating to health and well-being. Read the free Plain Language Summary for this article on the Journal blog.</t>
  </si>
  <si>
    <t>[Jo, Toshiaki; Sato, Masayuki; Minamoto, Toshifumi; Ushimaru, Atushi] Kobe Univ, Grad Sch Human Dev &amp; Environm, Kobe, Hyogo, Japan; [Jo, Toshiaki] Ryukoku Univ, Fac Adv Sci &amp; Technol, Otsu, Shiga, Japan; [Jo, Toshiaki] Ryukoku Univ, Ctr Biodivers Sci, Otsu, Shiga, Japan; [Sato, Masayuki; Minamoto, Toshifumi; Ushimaru, Atushi] Kobe Univ, Org Adv &amp; Integrated Res, Div Life Med Nat Sci &amp; Technol, Kobe, Hyogo, Japan</t>
  </si>
  <si>
    <t>Kobe University; Ryukoku University; Ryukoku University; Kobe University</t>
  </si>
  <si>
    <t>Jo, T (corresponding author), Kobe Univ, Grad Sch Human Dev &amp; Environm, Kobe, Hyogo, Japan.;Jo, T (corresponding author), Ryukoku Univ, Fac Adv Sci &amp; Technol, Otsu, Shiga, Japan.;Jo, T (corresponding author), Ryukoku Univ, Ctr Biodivers Sci, Otsu, Shiga, Japan.</t>
  </si>
  <si>
    <t>toshiakijo@gmail.com</t>
  </si>
  <si>
    <t>Minamoto, Toshifumi/C-6453-2009; Ushimaru, Atushi/D-7036-2013</t>
  </si>
  <si>
    <t>Minamoto, Toshifumi/0000-0002-5379-1622; Ushimaru, Atushi/0000-0002-2051-1233; Jo, Toshiaki/0000-0002-1138-9360</t>
  </si>
  <si>
    <t>JSPS KAKENHI [JP22H03813]; Graduate School of Human Development and Environment and the Organization of Advanced and Integrated Research, Kobe University; Urban Innovation Kobe</t>
  </si>
  <si>
    <t>JSPS KAKENHI(Ministry of Education, Culture, Sports, Science and Technology, Japan (MEXT)Japan Society for the Promotion of ScienceGrants-in-Aid for Scientific Research (KAKENHI)); Graduate School of Human Development and Environment and the Organization of Advanced and Integrated Research, Kobe University; Urban Innovation Kobe</t>
  </si>
  <si>
    <t>JSPS KAKENHI, Grant/Award Number: JP22H03813; `Graduate School of Human Development and Environment and the Organization of Advanced and Integrated Research, Kobe University; Urban Innovation Kobe</t>
  </si>
  <si>
    <t>10.1002/pan3.10366</t>
  </si>
  <si>
    <t>JUN 2022</t>
  </si>
  <si>
    <t>WOS:000819205500001</t>
  </si>
  <si>
    <t>Characterisitcs of city residents which drive blue space visits</t>
  </si>
  <si>
    <t>Online surveys</t>
  </si>
  <si>
    <t>Japan</t>
  </si>
  <si>
    <t>Zhang, R; Peng, SJ; Sun, FY; Deng, LZ; Che, Y</t>
  </si>
  <si>
    <t>Zhang, Ran; Peng, Shengjing; Sun, Fengyun; Deng, Lingzhi; Che, Yue</t>
  </si>
  <si>
    <t>Assessing the social equity of urban parks: An improved index integrating multiple quality dimensions and service accessibility</t>
  </si>
  <si>
    <t>CITIES</t>
  </si>
  <si>
    <t>Urban parks; Accessibility; 2SFCA method; Environmental equity</t>
  </si>
  <si>
    <t>GREEN SPACES; ECOSYSTEM SERVICES; BLUE SPACE; HEALTH; ACCESS; AVAILABILITY; DISPARITIES; IMPACT; ASSOCIATION; RESOURCES</t>
  </si>
  <si>
    <t>Urban parks are important social resources that can promote the physical and mental health of visitors. Concerns over adverse effects brought by the inequitable distribution of park resources are increasing worldwide. Many studies have used park accessibility to address this environmental inequity issue by focusing on populations with varying socioeconomic statuses and racial/ethnic compositions across regions. However, the inequities caused by differences in park quality are under-represented in these studies, especially for minority groups such as elderly individuals, children and unemployed individuals. Thus, this study proposes an improved environmental equity assessment that integrates park accessibility and multidimensional park quality, which includes aesthetic features (AFs), facilities for recreation (FRs), facilities for convenience (FCs), and a total score (TS). The results indicate that FCs related to people's basic needs are the most accessible service in Shanghais urban parks, followed by AFs and FRs. According to the improved index, as with high socio-economic groups, areas with more elderly and unemployed people have easier access to better-quality urban parks; unfortunately, the opposite is true for children. Our findings also suggest that the priority of urban park planning and management is supply and demand balance, followed by improvements and adjustments of park quality. The proposed index could be used as a useful tool to facilitate the enhancement of social equity in urban park planning and management.</t>
  </si>
  <si>
    <t>[Zhang, Ran; Sun, Fengyun; Deng, Lingzhi; Che, Yue] East China Normal Univ, Sch Ecol &amp; Environm Sci, Shanghai 200241, Peoples R China; [Zhang, Ran; Deng, Lingzhi; Che, Yue] Shanghai Key Lab Urban Ecol Proc &amp; Ecorestorat, Shanghai 200241, Peoples R China; [Zhang, Ran] Shanghai Invest Design &amp; Res Inst Co Ltd, Shanghai 200335, Peoples R China; [Peng, Shengjing] Kunming Univ, Inst Kunming Sci Dev, Kunming 650214, Yunnan, Peoples R China; [Sun, Fengyun] Shanghai Normal Univ, Sch Environm &amp; Geog Sci, Shanghai 200234, Peoples R China; [Deng, Lingzhi; Che, Yue] Inst EcoChongming IEC, Shanghai 200062, Peoples R China</t>
  </si>
  <si>
    <t>East China Normal University; Kunming University; Shanghai Normal University</t>
  </si>
  <si>
    <t>Che, Y (corresponding author), East China Normal Univ, Sch Ecol &amp; Environm Sci, Shanghai 200241, Peoples R China.</t>
  </si>
  <si>
    <t>yche@des.ecnu.edu.cn</t>
  </si>
  <si>
    <t>Che, Yue/GRE-7952-2022</t>
  </si>
  <si>
    <t>Che, Yue/0009-0004-4634-2417</t>
  </si>
  <si>
    <t>Shanghai Key Lab for Urban Ecological Processes and Eco-Restoration [SHUES2020A09]</t>
  </si>
  <si>
    <t>Shanghai Key Lab for Urban Ecological Processes and Eco-Restoration</t>
  </si>
  <si>
    <t>This work was supported by the Shanghai Key Lab for Urban Ecological Processes and Eco-Restoration (Grant No. SHUES2020A09).</t>
  </si>
  <si>
    <t>0264-2751</t>
  </si>
  <si>
    <t>1873-6084</t>
  </si>
  <si>
    <t>Cities</t>
  </si>
  <si>
    <t>10.1016/j.cities.2022.103839</t>
  </si>
  <si>
    <t>Urban Studies</t>
  </si>
  <si>
    <t>4L5FB</t>
  </si>
  <si>
    <t>WOS:000852654800003</t>
  </si>
  <si>
    <t>Mulitple measures to assess park features across socioeconomic groups</t>
  </si>
  <si>
    <t>Accessibility of to green space attributes acorss different socioeconomic gourps</t>
  </si>
  <si>
    <t>Shaghai</t>
  </si>
  <si>
    <t>Shi, YN; Zhao, SQ</t>
  </si>
  <si>
    <t>Shi, Yinuo; Zhao, Shuqing</t>
  </si>
  <si>
    <t>Discover the desirable landscape structure for mitigating urban heat: The urban-rural gradient approach for an ancient Chinese city</t>
  </si>
  <si>
    <t>Land surface temperature; Urban intensity; Landscape composition and configuration; Natural cooling strategies; Urban challenges and prospects</t>
  </si>
  <si>
    <t>LAND-SURFACE TEMPERATURE; GREEN INFRASTRUCTURE; HUMAN HEALTH; ISLAND; CLIMATE; VEGETATION; PATTERN; IMPACT; HETEROGENEITY; CONFIGURATION</t>
  </si>
  <si>
    <t>Urban heat is one of the most prominent challenges of urbanization. The nature of extraordinarily spatially heterogeneous landscape in cities may provide nature-based solutions to solving the urban heat problems. Here we aimed to discover the most desirable landscape structure vividly demonstrated in urban areas that we can adopt for heat mitigation. We conducted our study in Xi'an, an ancient capital of China, using land surface temperature (LST) retrieved from Landsat8, landscape features interpreted from SPOT6 along with the urban-rural gradient. We found that large LST variability (as high as 18.11 degrees C) existed within the same urban intensity (UI) and it is very promising to see that potential of heat mitigation broadened with increasing urbanization. This is very likely thanks to the archaic urban design of Xi'an, which incorporates and preserves the wisdom of the ancients in the urban landscape layout. We revealed two landscape composition associated desirable cooling landscape structure models (i.e., the enhancement of blue spaces and the enhancement of green spaces) generally applicable for all urban environments, and three landscape configuration related desirable cooling models, that are the complex grey infrastructure model, the aggregated green space model, and the connected and regular model of both grey and green infrastructures, which can be exquisitely adopted at low, high and intermediate urban intensity gradients.</t>
  </si>
  <si>
    <t>[Shi, Yinuo; Zhao, Shuqing] Peking Univ, Coll Urban &amp; Environm Sci, Beijing 100871, Peoples R China; [Shi, Yinuo; Zhao, Shuqing] Peking Univ, Key Lab Earth Surface Proc, Minist Educ, Beijing 100871, Peoples R China</t>
  </si>
  <si>
    <t>Peking University; Peking University</t>
  </si>
  <si>
    <t>Zhao, SQ (corresponding author), Peking Univ, Coll Urban &amp; Environm Sci, Beijing 100871, Peoples R China.;Zhao, SQ (corresponding author), Peking Univ, Key Lab Earth Surface Proc, Minist Educ, Beijing 100871, Peoples R China.</t>
  </si>
  <si>
    <t>sqzhao@urban.pku.edu.cn</t>
  </si>
  <si>
    <t>National key RD plan of China [2018YFA0606104]; National Natural Sci-ence Foundation of China [42071120, 41771093]</t>
  </si>
  <si>
    <t>National key RD plan of China; National Natural Sci-ence Foundation of China(National Natural Science Foundation of China (NSFC))</t>
  </si>
  <si>
    <t>Acknowledgements This study was supported by the National key R&amp;D plan of China Grant [grant number 2018YFA0606104] and the National Natural Sci-ence Foundation of China Grants [grant numbers 42071120, 41771093] .</t>
  </si>
  <si>
    <t>10.1016/j.cities.2022.103737</t>
  </si>
  <si>
    <t>2D9WG</t>
  </si>
  <si>
    <t>WOS:000811887300002</t>
  </si>
  <si>
    <t>Mitigating heat with green and blue spaces</t>
  </si>
  <si>
    <t>Yes, Temperatures</t>
  </si>
  <si>
    <t>Landsat 8</t>
  </si>
  <si>
    <t>Zhang, JG; Liu, YH; Zhou, S; Cheng, YY; Zhao, B</t>
  </si>
  <si>
    <t>Zhang, Jinguang; Liu, Yuhong; Zhou, Shuai; Cheng, Yingyi; Zhao, Bing</t>
  </si>
  <si>
    <t>Do various dimensions of exposure metrics affect biopsychosocial pathways linking green spaces to mental health? A cross-sectional study in Nanjing, China</t>
  </si>
  <si>
    <t>Urban nature; Public health; Exposure; Mediation analysis; Deep learning</t>
  </si>
  <si>
    <t>NATURAL OUTDOOR ENVIRONMENTS; PHYSICAL-ACTIVITY; URBAN GREEN; RESIDENTIAL GREENSPACE; PUBLIC-HEALTH; BLUE SPACES; DEPRESSION; QUALITY; STRESS; ACCESS</t>
  </si>
  <si>
    <t>The theoretically indicated pathways linking green space (GS) exposure to mental well-being have been consistently examined. However, few studies have deciphered the association between multiple GS exposure metrics and biopsychosocial pathways. Here, we aimed to develop a systematic exposure framework addressing different aspects of GS, including one subjective metric (self-reported GS usage) and four objective metrics, namely, quantity-based GS availability, distance-based GS accessibility, quality-based GS attractiveness, and streetscape-based GS visibility. We then explored whether, or to what extent, these various exposure metrics affect the hypothesized paths: physical activity, social cohesion, stress, and environmental stressors (i.e., air quality and noise). A cross-sectional study was conducted using a population sample (n = 1984) from Nanjing, China. Spearman rank correlation was calculated to examine the relationship between various exposure metrics. A multivariate linear regression model was used to assess the association between GS exposure and self-reported mental well-being (i.e., WHO-5 scores). Structural equation modelling (SEM) techniques were further conducted to examine the parallel/serial mediation effects of GS exposure and mental well-being. The results showed the following: (1) multiple exposure metrics were only moderately to weakly correlated, all of which were significantly associated with respondents' self-rated mental well-being, mediated through one or more of the hypothesized pathways; (2) different exposure metrics significantly affected these mediating variables; structured GS exposure metrics were more associated with physical activity, while unstructured GS exposure metrics were more related to environmental stressors and mental stress; (3) in the parallel mediation model, stress is a relatively important mediator linking GS to mental well-being; the serial mediation model further indicated that physical activity, environmental stressors, and social cohesion worked as antecedents to reduce stress, which, in turn, was associated with better mental well-being. Our findings could help epidemiologists clarify the pathways and mechanisms by which GSs affect mental well-being, as well as assist urban planners in implementing health-based GS interventions.</t>
  </si>
  <si>
    <t>[Zhang, Jinguang; Liu, Yuhong; Cheng, Yingyi; Zhao, Bing] Nanjing Forestry Univ, Coll Landscape Architecture, Nanjing 210037, Peoples R China; [Zhou, Shuai] Univ Malaya, Asia Europe Inst, Kuala Lumpur 50603, Malaysia</t>
  </si>
  <si>
    <t>Nanjing Forestry University; Universiti Malaya</t>
  </si>
  <si>
    <t>Zhang, JG (corresponding author), Nanjing Forestry Univ, Coll Landscape Architecture, Nanjing 210037, Peoples R China.</t>
  </si>
  <si>
    <t>jizh@njfU.edu.cn</t>
  </si>
  <si>
    <t>Zhou, Shuai/IRY-9974-2023; Zhang, Jinguang/JAN-7365-2023</t>
  </si>
  <si>
    <t>Zhou, Shuai/0000-0002-7123-730X; Zhang, Jinguang/0000-0003-4696-5652</t>
  </si>
  <si>
    <t>Jiangsu Provinical Department of Science and Technology [SBK2022041803]</t>
  </si>
  <si>
    <t>Jiangsu Provinical Department of Science and Technology</t>
  </si>
  <si>
    <t>This research was funded by Jiangsu Provinical Department of Science and Technology (NO. SBK2022041803).</t>
  </si>
  <si>
    <t>10.1016/j.landurbplan.2022.104494</t>
  </si>
  <si>
    <t>4I1PJ</t>
  </si>
  <si>
    <t>WOS:000850348000006</t>
  </si>
  <si>
    <t>Exposure</t>
  </si>
  <si>
    <t>Yes, distance and size</t>
  </si>
  <si>
    <t>Exposure metrics via GIS and self-reported GS usage</t>
  </si>
  <si>
    <t>Cross sectional case</t>
  </si>
  <si>
    <t>Cruz, J; Li, GQ; Aragon, MJ; Coventry, PA; Jacobs, R; Prady, SL; White, PCL</t>
  </si>
  <si>
    <t>Cruz, Joana; Li, Guangquan; Aragon, Maria Jose; Coventry, Peter A.; Jacobs, Rowena; Prady, Stephanie L.; White, Piran C. L.</t>
  </si>
  <si>
    <t>Association of environmental and socioeconomic indicators with serious mental illness diagnoses identified from general practitioner practice data in England: A spatial Bayesian modelling study</t>
  </si>
  <si>
    <t>PLOS MEDICINE</t>
  </si>
  <si>
    <t>AIR-POLLUTION; LIFE EXPECTANCY; SCHIZOPHRENIA; HEALTH; GREEN; RISK; LINK</t>
  </si>
  <si>
    <t>Background The evidence is sparse regarding the associations between serious mental illnesses (SMIs) prevalence and environmental factors in adulthood as well as the geographic distribution and variability of these associations. In this study, we evaluated the association between availability and proximity of green and blue space with SMI prevalence in England as a whole and in its major conurbations (Greater London, Birmingham, Liverpool and Manchester, Leeds, and Newcastle). Methods and findings We carried out a retrospective analysis of routinely collected adult population (&gt;= 18 years) data at General Practitioner Practice (GPP) level. We used data from the Quality and Outcomes Framework (QOF) on the prevalence of a diagnosis of SMI (schizophrenia, bipolar affective disorder and other psychoses, and other patients on lithium therapy) at the level of GPP over the financial year April 2014 to March 2018. The number of GPPs included ranged between 7,492 (April 2017 to March 2018) to 7,997 (April 2014 to March 2015) and the number of patients ranged from 56,413,719 (April 2014 to March 2015) to 58,270,354 (April 2017 to March 2018). Data at GPP level were converted to the geographic hierarchy unit Lower Layer Super Output Area (LSOA) level for analysis. LSOAs are a geographic unit for reporting small area statistics and have an average population of around 1,500 people. We employed a Bayesian spatial regression model to explore the association of SMI prevalence in England and its major conurbations (greater London, Birmingham, Liverpool and Manchester, Leeds, and Newcastle) with environmental characteristics (green and blue space, flood risk areas, and air and noise pollution) and socioeconomic characteristics (age, ethnicity, and index of multiple deprivation (IMD)). We incorporated spatial random effects in our modelling to account for variation at multiple scales. Across England, the environmental characteristics associated with higher SMI prevalence at LSOA level were distance to public green space with a lake (prevalence ratio [95% credible interval]): 1.002 [1.001 to 1.003]), annual mean concentration of PM2.5 (1.014 [1.01 to 1.019]), and closeness to roads with noise levels above 75 dB (0.993 [0.992 to 0.995]). Higher SMI prevalence was also associated with a higher percentage of people above 24 years old (1.002 [1.002 to 1.003]), a higher percentage of ethnic minorities (1.002 [1.001 to 1.002]), and more deprived areas. Mean SMI prevalence at LSOA level in major conurbations mirrored the national associations with a few exceptions. In Birmingham, higher average SMI prevalence at LSOA level was positively associated with proximity to an urban green space with a lake (0.992 [0.99 to 0.998]). In Liverpool and Manchester, lower SMI prevalence was positively associated with road traffic noise &gt;= 75 dB (1.012 [1.003 to 1.022]). In Birmingham, Liverpool, and Manchester, there was a positive association of SMI prevalence with distance to flood zone 3 (land within flood zone 3 has &gt;= 1% chance of flooding annually from rivers or &gt;= 0.5% chance of flooding annually from the sea, when flood defences are ignored): Birmingham: 1.012 [1.000 to 1.023]; Liverpool and Manchester: 1.016 [1.006 to 1.026]. In contrast, in Leeds, there was a negative association between SMI prevalence and distance to flood zone 3 (0.959 [0.944 to 0.975]). A limitation of this study was because we used a cross-sectional approach, we are unable to make causal inferences about our findings or investigate the temporal relationship between outcome and risk factors. Another limitation was that individuals who are exclusively treated under specialist mental health care and not seen in primary care at all were not included in this analysis. Conclusions Our study provides further evidence on the significance of socioeconomic associations in patterns of SMI but emphasises the additional importance of considering environmental characteristics alongside socioeconomic variables in understanding these patterns. In this study, we did not observe a significant association between green space and SMI prevalence, but we did identify an apparent association between green spaces with a lake and SMI prevalence. Deprivation, higher concentrations of air pollution, and higher proportion of ethnic minorities were associated with higher SMI prevalence, supporting a social-ecological approach to public health prevention. It also provides evidence of the significance of spatial analysis in revealing the importance of place and context in influencing area-based patterns of SMI.</t>
  </si>
  <si>
    <t>[Cruz, Joana; White, Piran C. L.] Univ York, Dept Geog &amp; Environm, Wentworth Way, York, N Yorkshire, England; [Li, Guangquan] Northumbria Univ, Dept Math Phys &amp; Elect Engn, Newcastle Upon Tyne, Tyne &amp; Wear, England; [Aragon, Maria Jose; Jacobs, Rowena] Univ York, Ctr Hlth Econ, York, N Yorkshire, England; [Coventry, Peter A.; Prady, Stephanie L.] Univ York, Dept Hlth Sci, York, N Yorkshire, England; [Coventry, Peter A.; White, Piran C. L.] Univ York, York Environm Sustainabil Inst, York, N Yorkshire, England; [Cruz, Joana] UCL, UCL Great Ormond St Inst Child Hlth, London, England</t>
  </si>
  <si>
    <t>N8 Research Partnership; White Rose University Consortium; University of York - UK; Northumbria University; N8 Research Partnership; White Rose University Consortium; University of York - UK; N8 Research Partnership; White Rose University Consortium; University of York - UK; N8 Research Partnership; White Rose University Consortium; University of York - UK; University of London; University College London</t>
  </si>
  <si>
    <t>Cruz, J (corresponding author), Univ York, Dept Geog &amp; Environm, Wentworth Way, York, N Yorkshire, England.;Cruz, J (corresponding author), UCL, UCL Great Ormond St Inst Child Hlth, London, England.</t>
  </si>
  <si>
    <t>joana.cruz@ucl.ac.uk</t>
  </si>
  <si>
    <t>White, Piran Crawfurd Limond/AAH-6851-2021; Cruz, Joana/K-7030-2013; Li, Guangquan/AAW-6920-2021; Coventry, Peter/AAA-9344-2019</t>
  </si>
  <si>
    <t>White, Piran Crawfurd Limond/0000-0002-7496-5775; Cruz, Joana/0000-0002-4911-4469; Li, Guangquan/0000-0002-8736-5349; Coventry, Peter/0000-0003-0625-3829; Cruz, Joana/0000-0001-5431-0520; Jacobs, Rowena/0000-0001-5225-6321</t>
  </si>
  <si>
    <t>UK Research and Innovation Closing the Gap Network + [ES/S004459/1]</t>
  </si>
  <si>
    <t>UK Research and Innovation Closing the Gap Network +</t>
  </si>
  <si>
    <t>JC and MJA were supported by UK Research and Innovation Closing the Gap Network + (ES/S004459/1). The funders had no role in study design, data collection and analysis, decision to publish, or preparation of the manuscript. URL: https://www.york.ac.uk/healthsciences/closing-the-</t>
  </si>
  <si>
    <t>1549-1277</t>
  </si>
  <si>
    <t>1549-1676</t>
  </si>
  <si>
    <t>PLOS MED</t>
  </si>
  <si>
    <t>PLos Med.</t>
  </si>
  <si>
    <t>e1004043</t>
  </si>
  <si>
    <t>10.1371/journal.pmed.1004043</t>
  </si>
  <si>
    <t>Medicine, General &amp; Internal</t>
  </si>
  <si>
    <t>General &amp; Internal Medicine</t>
  </si>
  <si>
    <t>6R0QB</t>
  </si>
  <si>
    <t>Green Accepted, Green Published, gold</t>
  </si>
  <si>
    <t>WOS:000892011400001</t>
  </si>
  <si>
    <t>Availibility and proximity to GBS and Serious Mental Illness</t>
  </si>
  <si>
    <t>Yes, distance and availability</t>
  </si>
  <si>
    <t>Mean SMI prevelance across Lower Layer Superoutput Areas</t>
  </si>
  <si>
    <t>Cross sectional mulit-case</t>
  </si>
  <si>
    <t>England (Conurbations)</t>
  </si>
  <si>
    <t>Hung, SH; Wu, CC; Yeh, YC; Yeh, A; Chang, CY; Tang, HF</t>
  </si>
  <si>
    <t>Hung, Shih-Han; Wu, Chia-Ching; Yeh, Yu-Chen; Yeh, Ang; Chang, Chun-Yen; Tang, Hsing-Fen</t>
  </si>
  <si>
    <t>A Study on Measuring Ecosystem Service and Physical and Psychological Health Benefits in Agricultural Landscape</t>
  </si>
  <si>
    <t>HORTSCIENCE</t>
  </si>
  <si>
    <t>electromyography; emotion; heart rate; restorativeness; waterscape</t>
  </si>
  <si>
    <t>ENVIRONMENTAL PREFERENCE; BLUE SPACES; URBAN; RESTORATION; NATURALNESS; ATTENTION; RESPONSES; EXPOSURE; SCENES</t>
  </si>
  <si>
    <t>Nature and health researchers have often suggested that nature induces better psychological and physical health responses than urban environments, especially with healthy ecosystems in nature. However, research that has empirically documented the daily benefits of physical and psychological health in rural landscapes is scarce. This study explores how rural landscapes could provide better health benefits than the built environment in daily life. The research involved on-site data collection with a set of psychological indicators (e.g., restorativeness, preference, emotion) and physical indicators (e.g., brain waves, heart rate) to compare the rural and the built environments. A total of 169 subjects took part in the study. We analyzed health indicators through analysis of variance to show the difference in water landscapes in rural areas relative to the built environment after the participants experienced the environments. The results showed that subjects could release stress and felt a greater sense of restorativeness, pleasure, and arousal in rural areas than in the built environment. Subjects preferred the rural landscape more than the built environment. To conclude, this study explains the rural landscape and its health-related benefits in Taiwan.</t>
  </si>
  <si>
    <t>[Hung, Shih-Han] Tunghai Univ, Dept Landscape Architecture, Taichung 407224, Taiwan; [Wu, Chia-Ching] Univ Illinois, Dept Landscape Architecture, Champaign, IL 61820 USA; [Yeh, Yu-Chen; Yeh, Ang; Chang, Chun-Yen] Natl Taiwan Univ, Dept Hort &amp; Landscape Architecture, Taipei 10617, Taiwan; [Tang, Hsing-Fen] Natl Taipei Univ Nursing &amp; Hlth Sci, Dept Leisure Ind &amp; Hlth Promot, Taipei 112303, Taiwan</t>
  </si>
  <si>
    <t>Tunghai University; University of Illinois System; University of Illinois Urbana-Champaign; National Taiwan University; National Taipei University of Nursing &amp; Health Science (NTUNHS)</t>
  </si>
  <si>
    <t>Chang, CY (corresponding author), Natl Taiwan Univ, Dept Hort &amp; Landscape Architecture, Taipei 10617, Taiwan.;Tang, HF (corresponding author), Natl Taipei Univ Nursing &amp; Hlth Sci, Dept Leisure Ind &amp; Hlth Promot, Taipei 112303, Taiwan.</t>
  </si>
  <si>
    <t>cycmail@ntu.edu.tw; hsingfen@ntunhs.edu.tw</t>
  </si>
  <si>
    <t>Hung, Shih-Han/0000-0002-2937-4255</t>
  </si>
  <si>
    <t>Council of Agriculture [106-8.5.6-1, 107-7.5.6-1]</t>
  </si>
  <si>
    <t>Council of Agriculture</t>
  </si>
  <si>
    <t>This study was supported by the Council of Agriculture, Executive Yuan [project number:106.. -8.5.6-.-#1(1) and107..-7.5.6-.-#1(1)]. We thank all the researchers, master's students, tourists, and agritourism farm owners (Toucheng Leisure Farm, San-fu Leisure Farm, Aliban Ecological Farm, Flying Cow Ranch) who participated and assisted in this research. S.-H.H., C.-C.W., C.-Y.C., and H.-F.T. contributed equally to this work.</t>
  </si>
  <si>
    <t>AMER SOC HORTICULTURAL SCIENCE</t>
  </si>
  <si>
    <t>ALEXANDRIA</t>
  </si>
  <si>
    <t>113 S WEST ST, STE 200, ALEXANDRIA, VA 22314-2851 USA</t>
  </si>
  <si>
    <t>0018-5345</t>
  </si>
  <si>
    <t>2327-9834</t>
  </si>
  <si>
    <t>Hortscience</t>
  </si>
  <si>
    <t>10.21273/HORTSCI16542-22</t>
  </si>
  <si>
    <t>Horticulture</t>
  </si>
  <si>
    <t>Agriculture</t>
  </si>
  <si>
    <t>1V8HL</t>
  </si>
  <si>
    <t>WOS:000806325100003</t>
  </si>
  <si>
    <t>Assessment of pychological and physical health indicators</t>
  </si>
  <si>
    <t>Online and in person surveys/ Physical responses</t>
  </si>
  <si>
    <t>Taiwan</t>
  </si>
  <si>
    <t>Thornhill, I; Hill, MJ; Castro-Castellon, A; Gurung, H; Hobbs, S; Pineda-Vazquez, M; Gomez-Osorio, MT; Hernandez-Aviles, JS; Novo, P; Mesa-Jurado, A; Calderon-Contreras, R</t>
  </si>
  <si>
    <t>Thornhill, I; Hill, M. J.; Castro-Castellon, A.; Gurung, H.; Hobbs, S.; Pineda-Vazquez, M.; Gomez-Osorio, M. T.; Hernandez-Aviles, J. S.; Novo, P.; Mesa-Jurado, A.; Calderon-Contreras, R.</t>
  </si>
  <si>
    <t>Blue-space availability, environmental quality and amenity use across contrasting socioeconomic contexts</t>
  </si>
  <si>
    <t>APPLIED GEOGRAPHY</t>
  </si>
  <si>
    <t>Urban landscapes; Habitat quality; Blue spaces; Freshwater distribution; Freshwater network</t>
  </si>
  <si>
    <t>CONSERVATION VALUE; LANDSCAPE FACTORS; GREEN SPACE; MEXICO-CITY; URBAN GREEN; WATER; BIODIVERSITY; URBANIZATION; JUSTICE; ASSEMBLAGES</t>
  </si>
  <si>
    <t>Over 60% of the global population are expected to live in urban areas by 2050. Urban blue spaces are critical for biodiversity, provide a range of ecosystem services, and can promote human health and wellbeing. Despite this, access to blue space is often unequally distributed across socioeconomic gradients, and the availability of quality blue space could extend to environmental justice issues. Three stages of analysis were carried out in Mexico City, Mexico and Bristol, UK to (i) assess associations between blue space and socioeconomic metrics at a regional scale, (ii) apply a rapid assessment tool to assess amenity, access and environmental quality, (iii) consider local quality across socioeconomic gradients at a regional scale. Still water availability was indicative of higher socioeconomic status, but contrasting city evolutions underpinned differences. Locally, there were environmental gradients from more complex to disturbed habitats that influenced potential wellbeing and amenity benefits. In combination, this may exacerbate inequalities and risk increasing ecosystem disservices. If cities are to be socially, and environmentally resilient to higher levels of disturbance in the future, healthy ecosystems will be key. However, further research is needed to address various dimensions of injustice in urban areas beyond blue space distribution.</t>
  </si>
  <si>
    <t>[Thornhill, I] Univ Manchester, Sch Environm Educ &amp; Dev, Oxford Rd, Manchester M13 9PL, Lancs, England; [Thornhill, I; Castro-Castellon, A.; Gurung, H.; Hobbs, S.] Bath Spa Univ, Sch Sci, Newton St Loe, Bath BA2 9BN, Avon, England; [Hill, M. J.] Univ Huddersfield, Sch Appl Sci, Huddersfield HD1 3DH, W Yorkshire, England; [Pineda-Vazquez, M.; Gomez-Osorio, M. T.; Calderon-Contreras, R.] Univ Autonoma Metropolitana, Dept Ciencias Sociales, Unidad Cuajimalpa, Coyoacan, Mexico; [Pineda-Vazquez, M.] El Colegio Frontera Sur, Unidad Villahermosa, Carretera Reforma Km 15-5,Rancheria Guineo,2a Sec, Villahermosa 86280, Tabasco, Mexico; [Hernandez-Aviles, J. S.; Mesa-Jurado, A.] Univ Nacl Autonoma Mexico, Lab Lirnnoecol, FES Zaragoza, Dept Biol, Mexico City, DF, Mexico; [Novo, P.] Univ Leeds, Sch Earth &amp; Environm, Leeds LS2 9JT, W Yorkshire, England; [Novo, P.] Scotlands Rural Coll SRUC, Land Econ Environm &amp; Soc Grp, Edinburgh EH9 3JG, Midlothian, Scotland</t>
  </si>
  <si>
    <t>University of Manchester; Bath Spa University; University of Huddersfield; Universidad Autonoma Metropolitana - Mexico; El Colegio de la Frontera Sur (ECOSUR); Universidad Nacional Autonoma de Mexico; University of Leeds; Scotland's Rural College</t>
  </si>
  <si>
    <t>Thornhill, I (corresponding author), Univ Manchester, Sch Environm Educ &amp; Dev, Oxford Rd, Manchester M13 9PL, Lancs, England.</t>
  </si>
  <si>
    <t>ian.thornhill@manchester.ac.uk; m.hill@hud.ac.uk; a.castro-castellon@bathspa.ac.uk; sarahjenniferhobbs@hotmail.com; maariiaanaa128@gmail.com; t.gomezosorio@gmail.com; jsalvaha@gmail.com; P.Novo@leeds.ac.uk; azaecosur@gmail.com; rcalderoncontreras@yahoo.com</t>
  </si>
  <si>
    <t>Castro-Castellon, Ana Teresa/GPX-1704-2022; Castro-Castellon, Ana T./N-1425-2018; Mesa-Jurado, M. Azahara/B-3631-2019</t>
  </si>
  <si>
    <t>Castro-Castellon, Ana Teresa/0000-0002-9655-3640; Castro-Castellon, Ana T./0000-0002-9655-3640; Novo, Paula/0000-0002-5635-3636; Mesa-Jurado, M. Azahara/0000-0003-4571-7251; Hill, Matthew/0000-0001-8008-2197; Thornhill, Ian/0000-0003-3818-1380</t>
  </si>
  <si>
    <t>UK Research and Innovation Newton Fund (the Economic andSocial Research Council) [ES/S006443/1]; Consejo Nacional de Ciencia yTecnologia (CONACyT)</t>
  </si>
  <si>
    <t>UK Research and Innovation Newton Fund (the Economic andSocial Research Council); Consejo Nacional de Ciencia yTecnologia (CONACyT)(Consejo Nacional de Ciencia y Tecnologia (CONACyT))</t>
  </si>
  <si>
    <t>This study was part of the RESPiRES project,which was funded by UK Research and Innovation Newton Fund (the Economic andSocial Research Council; ES/S006443/1) and Consejo Nacional de Ciencia yTecnologia (CONACyT).</t>
  </si>
  <si>
    <t>0143-6228</t>
  </si>
  <si>
    <t>1873-7730</t>
  </si>
  <si>
    <t>APPL GEOGR</t>
  </si>
  <si>
    <t>Appl. Geogr.</t>
  </si>
  <si>
    <t>10.1016/j.apgeog.2022.102716</t>
  </si>
  <si>
    <t>MAY 2022</t>
  </si>
  <si>
    <t>Geography</t>
  </si>
  <si>
    <t>3I8YP</t>
  </si>
  <si>
    <t>Green Accepted, hybrid, Green Published</t>
  </si>
  <si>
    <t>WOS:000832995000001</t>
  </si>
  <si>
    <t>Socioeconmic metris and access to GBS</t>
  </si>
  <si>
    <t>Blue space, access, amenity and quailty across socioeconimic gradients</t>
  </si>
  <si>
    <t>Paired-case</t>
  </si>
  <si>
    <t>Mexico and UK</t>
  </si>
  <si>
    <t>Zhou, Y; Yang, LQ; Yu, JN; Guo, SY</t>
  </si>
  <si>
    <t>Zhou, Yan; Yang, Liuqi; Yu, Jianing; Guo, Shiyi</t>
  </si>
  <si>
    <t>Do seasons matter? Exploring the dynamic link between blue-green space and mental restoration</t>
  </si>
  <si>
    <t>Blue-green space; Mental restoration; Season; Dynamic link; Structural equation model</t>
  </si>
  <si>
    <t>PHYSICAL-ACTIVITY; HEALTH BENEFITS; QUALITY; PARKS; QUESTIONNAIRE; ASSOCIATIONS; STREETSCAPE; DEPRESSION; QUANTITY; EXPOSURE</t>
  </si>
  <si>
    <t>In the face of the increasing mental health crisis, there is a growing awareness of the benefits of natural environments, especially urban blue-green spaces in promoting mental health. However, most studies neglected the dynamics of blue-green space over the seasons and the dynamic effects on mental restoration. In addition, the access to nature can be quantified from multiple dimensions, but few studies have measured the specific characteristics (such as revetment type, distance from water, and width of field view) of blue-green space as visitors experienced. To fill these gaps, we conducted a field investigation in 18 selected blue-green spaces in winter and summer, examining the dynamic relationship between blue-green space and mental restoration. A total of 915 samples was collected through questionnaires. The results indicated that the impact of blue-green space on mental restoration varies with the seasons, for example, green space significantly promoted physical activity in summer, but not in winter, and blue space inhibited physical activity more significantly in summer. Moreover, the overall results suggested that blue space did not directly promote the improvement of visitors' mental health, but improved social interaction, while green space had a direct positive influence on mental restoration. This study explored the dynamic link between blue-green space and mental restoration over different seasons, expanding the potential characteristics of blue-green space that affecting visitors' mental restoration, and contributing to our knowledge of the health benefits of visiting blue-green spaces.</t>
  </si>
  <si>
    <t>[Zhou, Yan; Yang, Liuqi; Yu, Jianing; Guo, Shiyi] Wuhan Univ, Sch Urban Design, Dept Urban Planning, Wuhan 430071, Hubei, Peoples R China</t>
  </si>
  <si>
    <t>Wuhan University</t>
  </si>
  <si>
    <t>Guo, SY (corresponding author), Wuhan Univ, Sch Urban Design, Dept Urban Planning, Wuhan 430071, Hubei, Peoples R China.</t>
  </si>
  <si>
    <t>joyeezhou@whu.edu.cn; 2019202090024@whu.edu.cn; 1552165559@foxmail.com; shiyiguo@whu.edu.cn</t>
  </si>
  <si>
    <t>Fundamental Research Funds for the Central Universities from the Ministry of Education of the People's Republic of China [2020HW007, 2042021kf0010]</t>
  </si>
  <si>
    <t>Fundamental Research Funds for the Central Universities from the Ministry of Education of the People's Republic of China</t>
  </si>
  <si>
    <t>This study was funded by: the Fundamental Research Funds for the Central Universities from the Ministry of Education of the People's Republic of China (grant numbers: 2020HW007 and 2042021kf0010).</t>
  </si>
  <si>
    <t>10.1016/j.ufug.2022.127612</t>
  </si>
  <si>
    <t>5F7YD</t>
  </si>
  <si>
    <t>WOS:000866527200004</t>
  </si>
  <si>
    <t>Mental restoration through the seasons</t>
  </si>
  <si>
    <t>Mental restoration questionaires through different seasons</t>
  </si>
  <si>
    <t>Longitudinal (1 yr)</t>
  </si>
  <si>
    <t>Fixsen, A; Barrett, S</t>
  </si>
  <si>
    <t>Fixsen, Alison; Barrett, Simon</t>
  </si>
  <si>
    <t>Challenges and Approaches to Green Social Prescribing During and in the Aftermath of COVID-19: A Qualitative Study</t>
  </si>
  <si>
    <t>social prescribing; green prescribing; COVID-19; mental health outcomes; health inequalities</t>
  </si>
  <si>
    <t>GENERAL-PRACTICE; HEALTH-BENEFITS; PARKRUN</t>
  </si>
  <si>
    <t>The last decade has seen a surge of interest and investment in green social prescribing, however, both healthcare and social enterprise has been impacted by the COVID-19 crisis, along with restricted access to public green spaces. This study examines the challenges and opportunities of delivering green social prescribing during and in the aftermath of COVID-19, in the light of goals of green social prescribing to improve mental health outcomes and reduce health inequalities. Thirty-five one-to-one interviews were conducted between March 2020 and January 2022. Interviewees included Link Workers and other social prescribers, general practitioners (GPs), managers, researchers, and volunteers working in urban and rural Scotland and North East England. Interview transcripts were analyzed in stages, with an inductive approach to coding supported by NVivo. Findings revealed a complex social prescribing landscape, with schemes funded, structured, and delivered diversely. Stakeholders were in general agreement about the benefits of nature-based interventions, and GPs and volunteers pointed out numerous benefits to participating in schemes such as parkrun. Link Workers were more circumspect about suggesting outdoor activities, pointing out both psychological and practical obstacles, including health anxieties, mobility issues, and transport deficits. Exacerbated by the pandemic, there was a way to go before older and/multi-morbidity clients (their largest cohort) would feel comfortable and safe to socialize in open air spaces. Our findings support the premise that time spent in open green spaces can alleviate some of the negative mental health effects compounded by the pandemic. However, the creation of healthy environments is complex with population health intrinsically related to socioeconomic conditions. Social disadvantage, chronic ill health and health crises all limit easy access to green and blue spaces, while those in the most socially economically deprived areas receive the lowest quality of healthcare. Such health inequities need to be borne in mind in the planning of schemes and claims around the potential of future nature-based interventions to reduce health inequalities.</t>
  </si>
  <si>
    <t>[Fixsen, Alison] Univ Westminster, Sch Social Sci &amp; Humanities, Dept Psychol, London, England; [Barrett, Simon] Newcastle Univ, Populat Hlth Sci Inst, Newcastle Upon Tyne, Northumberland, England</t>
  </si>
  <si>
    <t>University of Westminster; Newcastle University - UK</t>
  </si>
  <si>
    <t>Fixsen, A (corresponding author), Univ Westminster, Sch Social Sci &amp; Humanities, Dept Psychol, London, England.</t>
  </si>
  <si>
    <t>A.Fixsen@westminster.ac.uk</t>
  </si>
  <si>
    <t>Fixsen, Alison/0000-0002-9449-2784; Barrett, Simon/0000-0002-8216-2999</t>
  </si>
  <si>
    <t>University of Westminster</t>
  </si>
  <si>
    <t>The pilot phase of this project was funded by the University of Westminster.</t>
  </si>
  <si>
    <t>MAY 16</t>
  </si>
  <si>
    <t>10.3389/fpsyg.2022.861107</t>
  </si>
  <si>
    <t>1T4GK</t>
  </si>
  <si>
    <t>WOS:000804689000001</t>
  </si>
  <si>
    <t>How access to GBS impacted health of urband and rurual residents during the pandemic</t>
  </si>
  <si>
    <t>35 one-on-one interviews</t>
  </si>
  <si>
    <t>Scotland and England</t>
  </si>
  <si>
    <t>Klein, Y; Lindfors, P; Osika, W; Hanson, LLM; Stenfors, CUD</t>
  </si>
  <si>
    <t>Klein, Yannick; Lindfors, Petra; Osika, Walter; Magnusson Hanson, Linda L.; Stenfors, Cecilia U. D.</t>
  </si>
  <si>
    <t>Residential Greenspace Is Associated with Lower Levels of Depressive and Burnout Symptoms, and Higher Levels of Life Satisfaction: A Nationwide Population-Based Study in Sweden</t>
  </si>
  <si>
    <t>green infrastructure; urban; nature; mental health; epidemiological studies; city-planning; sustainable environments</t>
  </si>
  <si>
    <t>MENTAL-HEALTH; NATURAL ENVIRONMENTS; SOCIAL DETERMINANTS; BLUE SPACES; EXPOSURE; STRESS; IMPACT; RECOVERY; VIEW</t>
  </si>
  <si>
    <t>Population-based studies of individual-level residential greenspace and mental health outcomes are still limited. Thus, the present study investigates greenspace-mental health associations-including depressive symptoms, burnout symptoms, and life satisfaction-in a population-based sample of adults, the Swedish Longitudinal Occupational Survey of Health, in 2016 (n = 14,641). High-resolution land cover of greenspace and green-blue-space was assessed at 50, 100, 300 and 500 m buffers around residential addresses. Higher residential greenspace and green-blue-space were associated with lower levels of depressive and burnout symptoms among non-working individuals and with higher life satisfaction in the whole study population, after controlling for age, sex, individual income, and neighborhood socioeconomics. The immediate residential-surrounding environment (50 m) consistently showed the strongest associations with the outcomes. Having a partner was associated with better mental health outcomes and with having more residential greenspace, and adjusting for this rendered greenspace-health associations mostly statistically non-significant. In conclusion, higher levels of greenspace and green-blue-space in the immediate residential-surrounding environment were associated with better mental health outcomes in the present study, which contributes additional nuances to prior studies. The importance of residential greenspace for public health, urban planning, and development is discussed.</t>
  </si>
  <si>
    <t>[Klein, Yannick; Lindfors, Petra; Stenfors, Cecilia U. D.] Stockholm Univ, Dept Psychol, S-11419 Stockholm, Sweden; [Osika, Walter] Karolinska Inst, Dept Neurobiol Care Sci &amp; Soc, Ctr Social Sustainabil, S-14183 Huddinge, Sweden; [Osika, Walter] Karolinska Inst, Dept Clin Neurosci, Ctr Psychiat Res, S-11364 Stockholm, Sweden; [Osika, Walter] Stockholm Hlth Care Serv, S-11364 Stockholm, Sweden; [Magnusson Hanson, Linda L.] Stress Res Inst, S-11419 Stockholm, Sweden</t>
  </si>
  <si>
    <t>Stockholm University; Karolinska Institutet; Karolinska Institutet</t>
  </si>
  <si>
    <t>Stenfors, CUD (corresponding author), Stockholm Univ, Dept Psychol, S-11419 Stockholm, Sweden.</t>
  </si>
  <si>
    <t>yannick.klein@psychology.su.se; pls@psychology.su.se; walter.osika@ki.se; linda.hanson@su.se; cecilia.stenfors@psychology.su.se</t>
  </si>
  <si>
    <t>Osika, Walter/0000-0002-1583-7319; Stenfors, Cecilia/0000-0002-8411-0666</t>
  </si>
  <si>
    <t>Swedish Research Council for Sustainable Development (FORMAS) [2018-00246]; Region Stockholm [RS 2020-0501]; Formas [2018-00246] Funding Source: Formas</t>
  </si>
  <si>
    <t>Swedish Research Council for Sustainable Development (FORMAS)(Swedish Research Council Formas); Region Stockholm; Formas(Swedish Research Council Formas)</t>
  </si>
  <si>
    <t>This research was supported by grants from the Swedish Research Council for Sustainable Development (FORMAS, 2018-00246), within the national research program for sustainable urban development, and Region Stockholm (RS 2020-0501), awarded to Cecilia U.D. Stenfors.</t>
  </si>
  <si>
    <t>MAY</t>
  </si>
  <si>
    <t>10.3390/ijerph19095668</t>
  </si>
  <si>
    <t>1E5PB</t>
  </si>
  <si>
    <t>gold, Green Submitted, Green Published</t>
  </si>
  <si>
    <t>WOS:000794539100001</t>
  </si>
  <si>
    <t>Proximity to green and bue space from residencies</t>
  </si>
  <si>
    <t>Health survey data national collect over the phone</t>
  </si>
  <si>
    <t>Sweden</t>
  </si>
  <si>
    <t>McDougall, CW; Hanley, N; Quilliam, RS; Oliver, DM</t>
  </si>
  <si>
    <t>McDougall, Craig W.; Hanley, Nick; Quilliam, Richard S.; Oliver, David M.</t>
  </si>
  <si>
    <t>Blue space exposure, health and well-being: Does freshwater type matter?</t>
  </si>
  <si>
    <t>Mental health; Canal; Green space; Nature contact; WHO-5</t>
  </si>
  <si>
    <t>GREEN SPACES; MENTAL-HEALTH; THERAPEUTIC LANDSCAPES; URBAN; BENEFITS; ENVIRONMENTS; PREFERENCE; IMPACTS</t>
  </si>
  <si>
    <t>There is growing evidence that spending time in or around water bodies or 'blue spaces' can result in improved human health. To date, investigations of the health-promoting potential of blue space exposure have mostly focused on coastal environments. Despite their vital role in many urban landscapes, freshwater blue spaces have received less research attention and very little is known about the potential of different freshwater blue space types to impact health and well-being. This study used logistic and negative binomial regression modelling to quantify the association between proximity and exposure to different freshwater blue space types and general health and mental well-being in Scotland. A nationwide online panel survey (n = 1392) was used to determine how far respondents lived from lakes, rivers and canals and to establish how often they visited these blue spaces. Living within a ten minute walking distance of lakes, rivers or canals was not associated with greater general health or mental well-being. However, frequently visiting rivers and canals but not lakes, in the last month, was associated with greater mental well-being. Frequent green space visitation, but not blue space visitation, was associated with higher odds of reporting good general health. Taken together, our findings suggest that freshwater blue space exposure can provide mental well-being benefits. However, the provision of these benefits may vary among different freshwater blue space types. Understanding the health and well-being impact of different freshwater environments, therefore, offers opportunities for evidence-based policymaking to maximise the health-promoting potential of urban blue spaces.</t>
  </si>
  <si>
    <t>[McDougall, Craig W.; Quilliam, Richard S.; Oliver, David M.] Univ Stirling, Fac Nat Sci, Biol &amp; Environm Sci, Stirling FK9 4LA, Scotland; [Hanley, Nick] Univ Glasgow, Inst Biodivers Anim Hlth &amp; Comparat Med, Glasgow, Lanark, Scotland</t>
  </si>
  <si>
    <t>University of Stirling; University of Glasgow</t>
  </si>
  <si>
    <t>McDougall, CW (corresponding author), Univ Stirling, Fac Nat Sci, Biol &amp; Environm Sci, Stirling FK9 4LA, Scotland.</t>
  </si>
  <si>
    <t>c.w.mcdougall@stir.ac.uk</t>
  </si>
  <si>
    <t>Oliver, David M/B-8230-2011; Hanley, Nick/C-1759-2012; Quilliam, Richard S/E-6920-2011</t>
  </si>
  <si>
    <t>Quilliam, Richard S/0000-0001-7020-4410; Oliver, David/0000-0002-6200-562X</t>
  </si>
  <si>
    <t>10.1016/j.landurbplan.2022.104446</t>
  </si>
  <si>
    <t>APR 2022</t>
  </si>
  <si>
    <t>1F2MH</t>
  </si>
  <si>
    <t>WOS:000795006400002</t>
  </si>
  <si>
    <t>How far people live from blue space and how often the visit</t>
  </si>
  <si>
    <t>Nationwide online panel survey data (WHO-5)</t>
  </si>
  <si>
    <t>Scotland</t>
  </si>
  <si>
    <t>Li, HY; Wang, XG; Wei, HX; Xia, TT; Liu, MN; Ai, SS</t>
  </si>
  <si>
    <t>Li, Hongyan; Wang, Xuege; Wei, Hongxu; Xia, Tingting; Liu, Mengnan; Ai, Shengshu</t>
  </si>
  <si>
    <t>Geographical Distribution and Driving Meteorological Forces of Facial Expressions of Visitors in Urban Wetland Parks in Eastern China</t>
  </si>
  <si>
    <t>FRONTIERS IN EARTH SCIENCE</t>
  </si>
  <si>
    <t>blue space; aquatic environment; mental well-being; emotional perception; big-data; social network service</t>
  </si>
  <si>
    <t>HUMAN HEALTH; BLUE SPACE; BIODIVERSITY; FOREST; RESPONSES; BENEFITS; ENVIRONMENT; FEEL; AREA</t>
  </si>
  <si>
    <t>Interacting with aquatic environments in blue spaces is believed to benefit mental well-being. Relevant understanding is limited to regional pilot studies using self-reported emotions on questionnaires. We assessed emotional response by rating facial expressions on a large geographical scale with the purpose of detecting a relationship to microclimates. A total of 920 facial photographs were collected from Sina Weibo from 20 wetland parks in 14 eastern cities of China during 2020. Daily average air temperature, rainfall, average relative humidity (RH), and wind velocity were also recorded from the days when photographs were posted online. We found that happy expressions were higher in wetlands of eastern cities than in northern and inland cities. Sad expressions varied statistically among wetland locations. Weather records differed between temperate and subtropical climatic zones and were highly varied among cities. Happy and sad scores were driven by the change in average air temperature. Combined multivariable regression and binomial correlation suggested that increasing air temperature would not evoke positive emotions unless higher than 11.5 degrees C, and an air temperature range of 17.5-22.3 degrees C will be optimum to induce the presentation of a smiling face. Air humidity generally imposed a negative effect on expressions of positive emotions. Further verification of our findings is suggested on a larger geographical scale using more powerful big-data to obtain more robust conclusions.</t>
  </si>
  <si>
    <t>[Li, Hongyan; Wang, Xuege; Ai, Shengshu] Changchun Inst Technol, Sch Water Conservancy &amp; Environm Engn, Changchun, Peoples R China; [Li, Hongyan; Wang, Xuege; Ai, Shengshu] Changchun Inst Technol, Jilin Prov Key Lab Municipal Wastewater Treatment, Changchun, Peoples R China; [Wei, Hongxu; Xia, Tingting; Liu, Mengnan] Chinese Acad Sci, Key Lab Wetland Ecol &amp; Environm, Res Grp Urban Forest &amp; Wetland, Northeast Inst Geog &amp; Agroecol, Changchun, Peoples R China; [Wei, Hongxu] Univ Chinese Acad Sci, Beijing, Peoples R China</t>
  </si>
  <si>
    <t>Changchun Institute Technology; Changchun Institute Technology; Chinese Academy of Sciences; Northeast Institute of Geography &amp; Agroecology, CAS; Chinese Academy of Sciences; University of Chinese Academy of Sciences, CAS</t>
  </si>
  <si>
    <t>Wei, HX (corresponding author), Chinese Acad Sci, Key Lab Wetland Ecol &amp; Environm, Res Grp Urban Forest &amp; Wetland, Northeast Inst Geog &amp; Agroecol, Changchun, Peoples R China.;Wei, HX (corresponding author), Univ Chinese Acad Sci, Beijing, Peoples R China.</t>
  </si>
  <si>
    <t>weihongxu@iga.ac.cn</t>
  </si>
  <si>
    <t>National Key Research and Development Program of China [2019YFC0409102]; Scientific Research Project of Education Department of Jilin Province [JJKH20220638KJ]; Project of Changchun Science and Technology Bureau [21ZGM03]; National Natural Science Foundation of China [42001117, 41971122, 41861017]</t>
  </si>
  <si>
    <t>National Key Research and Development Program of China; Scientific Research Project of Education Department of Jilin Province; Project of Changchun Science and Technology Bureau; National Natural Science Foundation of China(National Natural Science Foundation of China (NSFC))</t>
  </si>
  <si>
    <t>This study was financially supported by the National Key Research and Development Program of China (grant number: 2019YFC0409102), Scientific Research Project of Education Department of Jilin Province (grant number: JJKH20220638KJ), Project of Changchun Science and Technology Bureau (grant number: 21ZGM03), and the National Natural Science Foundation of China (grant numbers: 42001117, 41971122, and 41861017).</t>
  </si>
  <si>
    <t>2296-6463</t>
  </si>
  <si>
    <t>FRONT EARTH SC-SWITZ</t>
  </si>
  <si>
    <t>Front. Earth Sci.</t>
  </si>
  <si>
    <t>APR 21</t>
  </si>
  <si>
    <t>10.3389/feart.2022.781204</t>
  </si>
  <si>
    <t>Geosciences, Multidisciplinary</t>
  </si>
  <si>
    <t>Geology</t>
  </si>
  <si>
    <t>8D1IJ</t>
  </si>
  <si>
    <t>WOS:000918052300001</t>
  </si>
  <si>
    <t>Facial expression in gbs (facial images)</t>
  </si>
  <si>
    <t>Sina Weibo images in wetlands</t>
  </si>
  <si>
    <t>Yang, HR; Cui, XF; Dijst, M; Tian, SL; Chen, J; Huang, JH</t>
  </si>
  <si>
    <t>Yang, Haoran; Cui, Xiangfen; Dijst, Martin; Tian, Senlin; Chen, Jie; Huang, Jianhong</t>
  </si>
  <si>
    <t>Association Between Natural/Built Campus Environment and Depression Among Chinese Undergraduates: Multiscale Evidence for the Moderating Role of Socioeconomic Factors After Controlling for Residential Self-Selection</t>
  </si>
  <si>
    <t>natural environment; built environment; multiple scales; depressive symptoms; moderating effect; undergraduates; China</t>
  </si>
  <si>
    <t>BUILT ENVIRONMENT; PHYSICAL-ACTIVITY; MENTAL-HEALTH; GREEN SPACE; UNIVERSITY-STUDENTS; BLUE SPACES; PREVALENCE; EXPOSURE; POPULATION; PATTERNS</t>
  </si>
  <si>
    <t>AimEvidence on the association between natural-built environments and depression is largely derived from the general population and prone to residential self-selection bias because of the nature of cross-sectional research design. Despite emerging adulthood, which includes the university years, is a critical stage for forming life-long health habits, studies on this topic focusing on undergraduate students are limited. The current study aims to illustrate the underlying mechanisms for how the campus-based environments affect depression in undergraduate students. MethodsBased on a nationwide representative analytical sample of 22,009 Chinese undergraduates in 2018, we examined participants' reports of depression and campus-centered natural/built environments within multiple buffer sizes including 0.5, 1.0, and 2.5 km. After disentangling residential self-selection, we explored the moderating role of the socioeconomic attributes of undergraduates. The depression outcome was measured by the nine-item Patient Health Questionnaire (PHQ9). Indicators of exposure to green and blue space, transportation infrastructure, and food environments were objectively assessed using different circular buffers around each campus address. ResultsModeling results indicated that campus neighborhoods with more scattered trees (0.5 km), water (0.5, 1.0, and 2.5 km), and street intersections (1.0 and 2.5 km) were protective against depression. In contrast, those living near denser distributions of outlets serving take-away sweets and fast food (0.5, 1.0, and 2.5 km) were susceptible to depression. These associations were modified by undergraduates' socioeconomic attributes (e.g., grade, Hukou status, and ethnicity) and varied according to geographical scales and exposure metrics. ConclusionTo deliver effective environmental interventions to curb the prevalence of depression among undergraduate students, further planning policies should focus on the careful conception of the campus-based environment, especially regarding different spatial scales.</t>
  </si>
  <si>
    <t>[Yang, Haoran] East China Normal Univ, Res Ctr China Adm Div, Ctr Modern Chinese City Studies, Future City Lab, Shanghai, Peoples R China; [Cui, Xiangfen; Tian, Senlin; Huang, Jianhong] Kunming Univ Sci &amp; Technol, Fac Environm Sci &amp; Engn, Kunming, Peoples R China; [Dijst, Martin] Luxembourg Inst Socio Econ Res LISER, Dept Urban Dev &amp; Mobil, Esch Sur Alzette, Luxembourg; [Chen, Jie] Kunming Univ Sci &amp; Technol, Fac Land Resource Engn, Kunming, Peoples R China</t>
  </si>
  <si>
    <t>East China Normal University; Kunming University of Science &amp; Technology; Kunming University of Science &amp; Technology</t>
  </si>
  <si>
    <t>Cui, XF (corresponding author), Kunming Univ Sci &amp; Technol, Fac Environm Sci &amp; Engn, Kunming, Peoples R China.;Chen, J (corresponding author), Kunming Univ Sci &amp; Technol, Fac Land Resource Engn, Kunming, Peoples R China.</t>
  </si>
  <si>
    <t>cui1987rainny@163.com; chenjie@kust.edu.cn</t>
  </si>
  <si>
    <t>Yang, Haoran/GXH-6567-2022</t>
  </si>
  <si>
    <t>Yang, Haoran/0000-0001-5572-9390</t>
  </si>
  <si>
    <t>APR 7</t>
  </si>
  <si>
    <t>10.3389/fpubh.2022.844541</t>
  </si>
  <si>
    <t>1A2MI</t>
  </si>
  <si>
    <t>WOS:000791597000001</t>
  </si>
  <si>
    <t>Exposure to gbs for undergraduate students on Campus</t>
  </si>
  <si>
    <t>Patient health questionaires (9 items PHQ)</t>
  </si>
  <si>
    <t>Berdejo-Espinola, V; Zahnow, R; Suarez-Castro, AF; Rhodes, JR; Fuller, RA</t>
  </si>
  <si>
    <t>Berdejo-Espinola, Violeta; Zahnow, Renee; Suarez-Castro, Andres F.; Rhodes, Jonathan R.; Fuller, Richard A.</t>
  </si>
  <si>
    <t>Changes in Green Space Use During a COVID-19 Lockdown Are Associated With Both Individual and Green Space Characteristics</t>
  </si>
  <si>
    <t>parks; wellbeing; human health; self-perceived benefit; ecosystem services; human-nature interaction; urban nature; pandemic</t>
  </si>
  <si>
    <t>URBAN; DIVERSITY; SERVICES</t>
  </si>
  <si>
    <t>Mobility restrictions imposed during the COVID-19 pandemic present a useful study system for understanding the temporal and spatial patterns of green space use. Here, we examine green space characteristics and sociodemographic factors associated with change in frequency of green space use before and during a COVID-19 lockdown in Brisbane, Australia drawing on a survey of 372 individuals. Applying regression analysis, we found that individuals who visited a different green space during lockdown than before tended to decrease their frequency of visits. In contrast, individuals who continued visiting their usual green space during lockdown were more inclined to increase their number of visits. Changes in frequency of green space use were also associated with particular characteristics of their usually visited green space. The presence of blue spaces and accessibility (carparks/public transport) were associated with increased frequency of use while foliage height diversity was associated with reduced frequency of use. We found that females were more likely to change their green space visitation frequency during COVID-19 compared to men and they also reported greater importance of green spaces for social and family interactions and spiritual reasons during COVID-19 compared to before. Males showed greater increases than females in the importance of green space for nature interactions and mental health benefits during the COVID-19 lockdown compared to before. Our results provide key insights for future resilient urban planning and policy that can fulfil a wide range of physical and psychological needs during a time of crisis and beyond.</t>
  </si>
  <si>
    <t>[Berdejo-Espinola, Violeta; Fuller, Richard A.] Univ Queensland, Sch Biol Sci, Brisbane, Qld, Australia; [Zahnow, Renee] Univ Queensland, Sch Social Sci, Brisbane, Qld, Australia; [Suarez-Castro, Andres F.] Griffith Univ, Sir Samuel Griffith Ctr, Nathan, Qld, Australia; [Rhodes, Jonathan R.] Univ Queensland, Sch Earth &amp; Environm Sci, Brisbane, Qld, Australia</t>
  </si>
  <si>
    <t>University of Queensland; University of Queensland; Griffith University; University of Queensland</t>
  </si>
  <si>
    <t>Berdejo-Espinola, V (corresponding author), Univ Queensland, Sch Biol Sci, Brisbane, Qld, Australia.</t>
  </si>
  <si>
    <t>v.berdejoespinola@uqconnect.edu.au</t>
  </si>
  <si>
    <t>Suarez Castro, Andres Felipe/GYU-6797-2022; Fuller, Richard/B-7971-2008; Berdejo-Espinola, Violeta/GLQ-8458-2022</t>
  </si>
  <si>
    <t>Suarez Castro, Andres Felipe/0000-0002-6621-3821; Fuller, Richard/0000-0001-9468-9678; Berdejo-Espinola, Violeta/0000-0001-9567-8276</t>
  </si>
  <si>
    <t>MAR 17</t>
  </si>
  <si>
    <t>10.3389/fevo.2022.804443</t>
  </si>
  <si>
    <t>0G8AY</t>
  </si>
  <si>
    <t>WOS:000778262800001</t>
  </si>
  <si>
    <t>Greenspace use and socioeconomic factors, based on characterisitcs and individuals</t>
  </si>
  <si>
    <t>Survey</t>
  </si>
  <si>
    <t>Aerts, R; Vanlessen, N; Dujardin, S; Nemery, B; Van Nieuwenhuyse, A; Bauwelinck, M; Casas, L; Demoury, C; Plusquin, M; Nawrot, TS</t>
  </si>
  <si>
    <t>Aerts, Raf; Vanlessen, Naomi; Dujardin, Sebastien; Nemery, Benoit; Van Nieuwenhuyse, An; Bauwelinck, Mariska; Casas, Lidia; Demoury, Claire; Plusquin, Michelle; Nawrot, Tim S.</t>
  </si>
  <si>
    <t>Residential green space and mental health-related prescription medication sales: An ecological study in Belgium</t>
  </si>
  <si>
    <t>ENVIRONMENTAL RESEARCH</t>
  </si>
  <si>
    <t>Mental health; Environmental epidemiology; Medication sales; Mood disorders; Residential green space</t>
  </si>
  <si>
    <t>LONG-TERM EXPOSURE; BLUE SPACES; BENEFITS; NETHERLANDS; ASSOCIATION; ANXIETY; RATES</t>
  </si>
  <si>
    <t>Background: Residential green space has been associated with mental health benefits, but how such associations vary with green space types is insufficiently known. Objective: We aimed to investigate associations between types and quantities of green space and sales of mood disorder medication in Belgium.Methods: We used aggregated sales data of psycholeptics and psychoanaleptics prescribed to adults from 2006 to 2014. Generalized mixed effects models were used to investigate associations between relative covers of woodland, low-green, grassland, and garden, and average annual medication sales. Models were adjusted for socio-economic background variables, urban-rural differences, and administrative region, and included random effects of latitude and longitude. Results: Urban census tracts were associated with 9-10% higher medication sales. In nationwide models, a 10% increase in relative cover of woodland, garden, and grass was associated with a 1-2% decrease in medication sales. The same association was found for low green but only for men. In stratified models, a 10% increase in relative cover of any green space type in urban census tracts was associated with a decrease of medication sales by 1-3%. In rural census tracts, no protective associations between green space and mood disorder medication sales were observed, with the exception of relative woodland cover for women (-1%), and low green was associated with higher medication sales (+6-7%). Conclusions: Taken together, these results suggest that living in green environments may be beneficial for adult mental health. Woodland exposure seemed the most beneficial, but the amount of green space was more important than the type. Results underline the importance of conserving green space in our living environment, for the conservation of biodiversity and for human health.</t>
  </si>
  <si>
    <t>[Aerts, Raf; Van Nieuwenhuyse, An; Demoury, Claire] Sciensano Belgian Inst Hlth, Risk &amp; Hlth Impact Assessment, Juliette Wytsman Str 14, BE-1050 Brussels, Belgium; [Aerts, Raf; Vanlessen, Naomi] Univ Leuven KU Leuven, Div Ecol Evolut &amp; Biodivers Conservat, Kasteelpk Arenberg 31-2435, BE-3001 Leuven, Belgium; [Aerts, Raf; Plusquin, Michelle; Nawrot, Tim S.] Univ Hasselt, Ctr Environm Sci, Agoralaan D, BE-3590 Hasselt, Belgium; [Dujardin, Sebastien] Univ Namur, Inst Life Earth &amp; Environm ILEE, Dept Geog, Namur, Belgium; [Nemery, Benoit; Van Nieuwenhuyse, An; Nawrot, Tim S.] Univ Leuven, Ctr Environm &amp; Hlth, Dept Publ Hlth &amp; Primary Care, Here Str 49-706, BE-3000 Leuven, Belgium; [Bauwelinck, Mariska] Vrije Univ Brussel, Dept Sociol, Interface Demog, Pl Laan 5, BE-1050 Brussels, Belgium; [Casas, Lidia] Univ Antwerp, Epidemiol &amp; Social Med, Univ Pl 1 R 232, BE-2610 Antwerp, Belgium</t>
  </si>
  <si>
    <t>Sciensano; KU Leuven; Hasselt University; University of Namur; KU Leuven; Vrije Universiteit Brussel; University of Antwerp</t>
  </si>
  <si>
    <t>Aerts, R (corresponding author), Sciensano, Juliette Wytsman Str 14, BE-1050 Brussels, Belgium.</t>
  </si>
  <si>
    <t>raf.aerts@sciensano.be; vanlessen.naomi@gmail.com; sebastien.dujardin@unamur.be; ben.nemery@kuleuven.be; an.vannieuwenhuyse@kuleuven.be; mariska.bauwelinck@vub.be; lidia.casasruiz@uantwerpen.be; claire.demoury@sciensano.be; michelle.plusquin@uhasselt.be; tim.nawrot@uhasselt.be</t>
  </si>
  <si>
    <t>Nemery, Benoit/N-3155-2019; Aerts, Raf/A-7602-2008</t>
  </si>
  <si>
    <t>Nemery, Benoit/0000-0003-0571-4689; Aerts, Raf/0000-0003-4018-0790; Demoury, Claire/0000-0001-5896-9808; Nawrot, Tim/0000-0002-3583-3593; Casas, Lidia/0000-0003-1820-8742; Plusquin, Michelle/0000-0002-7271-9722; Bauwelinck, Mariska/0000-0002-6117-2135</t>
  </si>
  <si>
    <t>Belgian Science Policy Office (BELSPO) through the Belgian Research Action through Interdisciplinary Networks (BRAIN-be) project GRESP-HEALTH [BR/143/A3/GRESP-HEALTH]; Research Foundation Flanders (FWO) [11A9718N]</t>
  </si>
  <si>
    <t>Belgian Science Policy Office (BELSPO) through the Belgian Research Action through Interdisciplinary Networks (BRAIN-be) project GRESP-HEALTH; Research Foundation Flanders (FWO)(FWO)</t>
  </si>
  <si>
    <t>This research has received funding from the Belgian Science Policy Office (BELSPO) through the Belgian Research Action through Interdisciplinary Networks (BRAIN-be) project GRESP-HEALTH under grant agreement numbers BR/143/A3/GRESP-HEALTH. MB is recipient of a doctoral fellowship (grant number 11A9718N) of the Research Foundation Flanders (FWO).</t>
  </si>
  <si>
    <t>ACADEMIC PRESS INC ELSEVIER SCIENCE</t>
  </si>
  <si>
    <t>SAN DIEGO</t>
  </si>
  <si>
    <t>525 B ST, STE 1900, SAN DIEGO, CA 92101-4495 USA</t>
  </si>
  <si>
    <t>0013-9351</t>
  </si>
  <si>
    <t>1096-0953</t>
  </si>
  <si>
    <t>ENVIRON RES</t>
  </si>
  <si>
    <t>Environ. Res.</t>
  </si>
  <si>
    <t>10.1016/j.envres.2022.113056</t>
  </si>
  <si>
    <t>MAR 2022</t>
  </si>
  <si>
    <t>0P6KI</t>
  </si>
  <si>
    <t>Green Accepted, Green Submitted</t>
  </si>
  <si>
    <t>WOS:000784336200002</t>
  </si>
  <si>
    <t>Exposure to GS and sales of mood disorder medication</t>
  </si>
  <si>
    <t>Degree of medication sales in urban and rural settings</t>
  </si>
  <si>
    <t>Belgium</t>
  </si>
  <si>
    <t>Cimburova, Z; Blumentrath, S</t>
  </si>
  <si>
    <t>Cimburova, Zofie; Blumentrath, Stefan</t>
  </si>
  <si>
    <t>Viewshed-based modelling of visual exposure to urban greenery-An efficient GIS tool for practical planning applications</t>
  </si>
  <si>
    <t>Urban greenery; Urban trees; Visual exposure; GIS; Viewshed analysis; Urban planning</t>
  </si>
  <si>
    <t>GOOGLE STREET VIEW; VISIBILITY ANALYSIS; ECOSYSTEM SERVICES; PHYSICAL-ACTIVITY; BLUE SPACE; LANDSCAPE; HEALTH; VEGETATION; ASSOCIATIONS; BALTIMORE</t>
  </si>
  <si>
    <t>Quantifying green visual exposure is necessary to assess aesthetic, social and health benefits from urban greenery. Viewshed analysis has been successfully used to model and map green visual exposure from human perspective in continuous representation and in places where street view imagery for widely-used photography-based methods is not available. However, current viewshed-based methods for modelling green visual exposure are often difficult to generalise beyond their specific application purpose, inefficient in processing large spatial extents and have limited use due to demands on technical knowledge. This hampers their wider use in research and practice. In this paper, we develop a viewshed analysis-based method for modelling visual exposure to urban greenery with special focus on the method's applicability in research and practice. The method is implemented as a tool in GRASS GIS which makes it available as a practical and flexible tool. Extensive validation and assessment of the method on the specific case of urban trees confirm that the method is a highly accurate alternative to modelling visual exposure from street view imagery (rho = 0.96) but that data quality and viewshed para-metrisation are essential for achieving accurate results. Thanks to parallel processing and effective imple-mentation, the method is applicable for city-wide scale analysis with high-resolution data on commodity hardware (here illustrated on the case of Oslo, Norway). Therewith, the method has potential application in many areas including strategic tree planting, scenario modelling and urban ecosystem accounting, as well as ecosystem service research.</t>
  </si>
  <si>
    <t>[Cimburova, Zofie; Blumentrath, Stefan] Norwegian Inst Nat Res NINA, Sognsveien 68, NO-0855 Oslo, Norway; [Cimburova, Zofie] NTNU Norwegian Univ Sci &amp; Technol, Fac Architecture &amp; Design, Dept Architecture &amp; Planning, NO-7491 Trondheim, Norway</t>
  </si>
  <si>
    <t>Norwegian Institute Nature Research; Norwegian University of Science &amp; Technology (NTNU)</t>
  </si>
  <si>
    <t>Cimburova, Z (corresponding author), Norwegian Inst Nat Res NINA, Sognsveien 68, NO-0855 Oslo, Norway.;Cimburova, Z (corresponding author), NTNU Norwegian Univ Sci &amp; Technol, Fac Architecture &amp; Design, Dept Architecture &amp; Planning, NO-7491 Trondheim, Norway.</t>
  </si>
  <si>
    <t>zofie.cimburova@nina.no</t>
  </si>
  <si>
    <t>Blumentrath, Stefan/0000-0001-6675-1331</t>
  </si>
  <si>
    <t>Norwegian Research Council [160022/F40]</t>
  </si>
  <si>
    <t>Norwegian Research Council(Research Council of Norway)</t>
  </si>
  <si>
    <t>We would like to thank Meta Berghauser Pont (Chalmers University of Technology, Sweden), Yngve Karl Froyen (Norwegian University of Science and Technology) and David N. Barton (Norwegian Institute for Nature Research), as well as three anonymous reviewers, for their valuable feedback on the research. Our appreciation also goes to Alexandre Nollet (AgroParisTech), who contributed to collecting the validation data for this work. The work was supported by the Norwegian Research Council [grant number 160022/F40].</t>
  </si>
  <si>
    <t>10.1016/j.landurbplan.2022.104395</t>
  </si>
  <si>
    <t>1F4OI</t>
  </si>
  <si>
    <t>WOS:000795147600002</t>
  </si>
  <si>
    <t>Exposure to vidual green space</t>
  </si>
  <si>
    <t>Li, HY; Peng, JX; Jiao, Y; Ai, SS</t>
  </si>
  <si>
    <t>Li, Hongyan; Peng, Jiaxi; Jiao, Yang; Ai, Shengshu</t>
  </si>
  <si>
    <t>Experiencing Urban Green and Blue Spaces in Urban Wetlands as a Nature-Based Solution to Promote Positive Emotions</t>
  </si>
  <si>
    <t>landscape optimizing; nature-based solution; exposure to nature; ecosystem service; green space; blue space; human health and well-being</t>
  </si>
  <si>
    <t>PHYSICAL-ACTIVITY; STRESS; MOOD; CITY; MICROCLIMATES; ENVIRONMENTS; RESPONSES; EXPOSURE; HEALTH</t>
  </si>
  <si>
    <t>Green and blue spaces are nature-based solutions (NBSs) that evoke positive emotions of experiencers therein. There is an impetus to optimize wetland forest landscapes by planning the geographical arrangement of metrics that promote positive emotion. The facial expressions of nature experiencers in photos, downloaded from social media databases with landscape metrics, were evaluated for emotions and given scores. Happy and sad scores were rated by FireFACE v1.0 software and positive response index (PRI) was calculated as happy score minus sad score. Spatial areas and tree height were evaluated from Landsat 8 images and digital model maps, respectively. Visitors at middle and senior ages smiled more frequently in southern parts than in northern parts, and females had higher happy scores and PRI than males. Both green- and blue-space areas had positive relationships with PRI scores, while blue spaces and their area to park area ratios had positive contributions to happy scores and PRI scores in multivariate linear regression models. Elevation had a negative relationship with positive facial emotion. Overall, based on spatial distributions of blue-space area and elevation, regional landscape was optimized so people perceived more happiness in wetlands around Zhejiang and Shanghai, while people in wetlands of Jiangxi and Hubei showed more net emotional expressions.</t>
  </si>
  <si>
    <t>[Li, Hongyan; Peng, Jiaxi; Jiao, Yang; Ai, Shengshu] Changchun Inst Technol, Jilin Prov Key Lab Municipal Wastewater Treatment, Changchun 130012, Peoples R China</t>
  </si>
  <si>
    <t>Changchun Institute Technology</t>
  </si>
  <si>
    <t>Li, HY (corresponding author), Changchun Inst Technol, Jilin Prov Key Lab Municipal Wastewater Treatment, Changchun 130012, Peoples R China.</t>
  </si>
  <si>
    <t>lihongyan89890@163.com; pjx9200@163.com; jiaoy980403@163.com; keyu0615@126.com</t>
  </si>
  <si>
    <t>Li, Hongyan/0000-0002-3855-9892</t>
  </si>
  <si>
    <t>National Key R&amp;D Program of China [2019YFC0409102]; Scientific Research Project of Education Department of Jilin Province [JJKH20220638KJ]; Project of Changchun Science and Technology Bureau [21ZGM03]</t>
  </si>
  <si>
    <t>National Key R&amp;D Program of China; Scientific Research Project of Education Department of Jilin Province; Project of Changchun Science and Technology Bureau</t>
  </si>
  <si>
    <t>This research was funded by the National Key R&amp;D Program of China (Grant No. 2019YFC0409102), Scientific Research Project of Education Department of Jilin Province (Grant No. JJKH20220638KJ), and Project of Changchun Science and Technology Bureau (Grant No. 21ZGM03).</t>
  </si>
  <si>
    <t>10.3390/f13030473</t>
  </si>
  <si>
    <t>0C7QH</t>
  </si>
  <si>
    <t>Y</t>
  </si>
  <si>
    <t>N</t>
  </si>
  <si>
    <t>WOS:000775503000001</t>
  </si>
  <si>
    <t>Facial expressions in wetland forest landscapes</t>
  </si>
  <si>
    <t>Facial analaysis for perceived emotion in different habitat types</t>
  </si>
  <si>
    <t>China (Shanghai)</t>
  </si>
  <si>
    <t>Browning, MHEM; Li, DY; White, MP; Bratman, GN; Becker, D; Benfield, JA</t>
  </si>
  <si>
    <t>Browning, Matthew H. E. M.; Li, Dongying; White, Mathew P.; Bratman, Gregory N.; Becker, Douglas; Benfield, Jacob A.</t>
  </si>
  <si>
    <t>Association between residential greenness during childhood and trait emotional intelligence during young adulthood: A retrospective life course analysis in the United States</t>
  </si>
  <si>
    <t>HEALTH &amp; PLACE</t>
  </si>
  <si>
    <t>Youth development; Socio-behavioral health; Socioemotional health; NDVI; Greenspace</t>
  </si>
  <si>
    <t>DIFFERENCE VEGETATION INDEX; NATURE EXPERIENCE; PSYCHOMETRIC PROPERTIES; ATTENTION RESTORATION; INCREMENTAL VALIDITY; SOCIOECONOMIC-STATUS; NATURAL-ENVIRONMENT; HEALTH INEQUALITIES; AIR-POLLUTION; BLUE SPACES</t>
  </si>
  <si>
    <t>Trait emotional intelligence reflects a set of self-perceptions and behavioral tendencies to empathize with others and manage one's own emotions. Trait emotional intelligence is a valuable characteristic since it can aid social interaction, bolster subjective wellbeing, and predict career success. Past research suggests that brief exposures to greenspace can enhance outcomes related to facets of trait emotional intelligence. The current study employed a retrospective life course analysis to examine whether residential greenness and other aspects of the residential environment predict trait emotional intelligence in early adulthood. Childhood exposure for 297 college students was based on up to three home addresses from birth to age 18, weighted by residency duration. Greenspace was calculated with normalized difference vegetation index (NDVI) values in 500 m and 1000 m buffers. Partially supporting our predictions, we found emotional intelligence in young adults growing up in lower-income areas was positively associated with cumulative neighborhood greenness around childhood homes. The opposite pattern was found for those who grew up in higher-income areas, with greater greenness(500-)(m) being associated with lower emotional intelligence scores. These are the first reported findings involving physical/natural environmental correlates of emotional intelligence and among the first to suggest an equigenic effect of greenspace on socio-emotional outcomes whereby exposure might help overturn inequalities rather than merely reduce them. If a causal link exists between nature exposure and emotional intelligence, then neighborhood greening might help children who begin life at a societal disadvantage through enhancing their ability to understand, use, and manage emotions.</t>
  </si>
  <si>
    <t>[Browning, Matthew H. E. M.] Clemson Univ, Dept Pk Recreat &amp; Tourism Management, Clemson, SC 29631 USA; [Li, Dongying] Texas A&amp;M Univ, Dept Landscape Architecture &amp; Urban Planning, College Stn, TX 77843 USA; [White, Mathew P.] Univ Vienna, Cognit Sci Hub, Liebiggasse 5, A-1110 Vienna, Austria; [Bratman, Gregory N.] Univ Washington, Sch Environm &amp; Forest Sci, Seattle, WA 98195 USA; [Becker, Douglas] Univ Illinois, Dept Nat Resources &amp; Environm Sci, Urbana, IL 61801 USA; [Benfield, Jacob A.] Penn State Univ, Psychol &amp; Social Sci, Abington Coll, Abington, PA 19001 USA</t>
  </si>
  <si>
    <t>Clemson University; Texas A&amp;M University System; Texas A&amp;M University College Station; University of Vienna; University of Washington; University of Washington Seattle; University of Illinois System; University of Illinois Urbana-Champaign; Pennsylvania Commonwealth System of Higher Education (PCSHE); Pennsylvania State University</t>
  </si>
  <si>
    <t>Browning, MHEM (corresponding author), Clemson Univ, Dept Pk Recreat &amp; Tourism Management, Clemson, SC 29631 USA.</t>
  </si>
  <si>
    <t>mhb2@clemson.edu</t>
  </si>
  <si>
    <t>Browning, Matthew/D-2111-2014</t>
  </si>
  <si>
    <t>Browning, Matthew/0000-0003-2296-7602; White, Mathew Philip/0000-0002-4168-7289</t>
  </si>
  <si>
    <t>1353-8292</t>
  </si>
  <si>
    <t>1873-2054</t>
  </si>
  <si>
    <t>HEALTH PLACE</t>
  </si>
  <si>
    <t>Health Place</t>
  </si>
  <si>
    <t>10.1016/j.healthplace.2022.102755</t>
  </si>
  <si>
    <t>FEB 2022</t>
  </si>
  <si>
    <t>1O9CK</t>
  </si>
  <si>
    <t>WOS:000801620400002</t>
  </si>
  <si>
    <t>How greeness at residencies up to age 18 have impacted a students trait emotions</t>
  </si>
  <si>
    <t>Yes, NDVI</t>
  </si>
  <si>
    <t>Online questionaires related to emotions and environments</t>
  </si>
  <si>
    <t>Almeida, DQ; Barros, H; Ribeiro, AI</t>
  </si>
  <si>
    <t>Almeida, Diogo Queiroz; Barros, Henrique; Ribeiro, Ana Isabel</t>
  </si>
  <si>
    <t>Residential and school green and blue spaces and intelligence in children: The Generation XXI birth cohort</t>
  </si>
  <si>
    <t>Blue space; Cognitive development; Greenness; Intelligence; Nature; Urban health</t>
  </si>
  <si>
    <t>PHYSICAL-ACTIVITY; BEHAVIORAL-DEVELOPMENT; SOCIOECONOMIC-STATUS; HEALTH-BENEFITS; PERFORMANCE</t>
  </si>
  <si>
    <t>Green and blue spaces have numerous health benefits. It has been hypothesized that contact with these spaces can have an important role in cognitive development, because it provides children with unique stimuli that can help develop curiosity, creativity, awareness, and control. This study aimed to estimate the association between exposure to green and blue spaces and the various measures of intelligence quotient (IQ) among children from Porto Metropolitan Area (Portugal). This investigation used data from the Generation XXI birth cohort. Exposure was assessed by Geographic Information Systems using vegetation indexes and measures of accessibility to urban green spaces and blue spaces in the surroundings of the residence and school, measured at 0, 4, 7 and 10 years. The outcome was the verbal, performance, and global IQ, measured using the Wechsler Intelligence Scale for Children (WISC-III), administered at age 10. Associations were estimated using crude and adjusted multilevel models. The mediation role of air pollution and physical activity was quantified. This study included 3827 children. The adjusted models showed that having green spaces up to 800 m of the residence was positively associated with performance IQ (1.30 95%CI [0.26; 2.35]) and global IQ (1.27 [0.18; 2.36]). No clear associations were observed regarding accessibility to blue spaces. Physical activity appeared to have a minor mediation role. Children with urban green spaces around their residences had higher performance and global IQ. Local actors in the sectors of public health and urban planning should promote the creation of green spaces close to residential areas. (c) 2021 Elsevier B.V. All rights reserved.</t>
  </si>
  <si>
    <t>[Almeida, Diogo Queiroz; Barros, Henrique; Ribeiro, Ana Isabel] Univ Porto, EPIUnit, Inst Saude Publ, Rua Taipas 135, P-4050600 Porto, Portugal; [Almeida, Diogo Queiroz] Unidade Local Saude Matosinhos, Unidade Saude Publ, Rua Alfredo Cunha 365, P-4450021 Matosinhos, Portugal; [Barros, Henrique; Ribeiro, Ana Isabel] Lab Invest Integrat &amp; Translac Saude Populac ITR, Rua Taipas 135, P-4050600 Porto, Portugal; [Barros, Henrique; Ribeiro, Ana Isabel] Univ Porto, Fac Med, Dept Ciencias Saude Publ &amp; Forenses &amp; Educ Med, Alameda Prof Hernani Monteiro, P-4200319 Porto, Portugal</t>
  </si>
  <si>
    <t>Universidade do Porto; Universidade do Porto</t>
  </si>
  <si>
    <t>Almeida, DQ (corresponding author), Rua Taipas 135, P-4050600 Porto, Portugal.</t>
  </si>
  <si>
    <t>diogo.queiroz.almeida@gmail.com</t>
  </si>
  <si>
    <t>Ribeiro, Ana Cristina/HHN-7466-2022; Barros, Henrique/Q-8609-2019</t>
  </si>
  <si>
    <t>Ribeiro, Ana Cristina/0000-0002-0493-8376; Barros, Henrique/0000-0003-4699-6571; Ribeiro, Ana Isabel/0000-0001-8880-6962; Queiroz Almeida, Diogo/0000-0002-0527-9085</t>
  </si>
  <si>
    <t>European Regional Development Fund (FEDER), through the Competitiveness and Internationalization Operational Programme; Foundation for Science and Technology (FCT) [PTDC/GES-AMB/30193/2017 (POCI-01-0145-FEDER-030193), PTDC/GES-AMB/30193/2017 (02/SAICT/2017), PTDC/GES-AMB/30193/2017 (30193)]; FEDER through the Operational Programme Competitiveness and Internationalization; Foundation for Science and Technology - FCT (PortugueseMinistry of Science, Technology and Higher Education) under the Unidade de Investigacao em Epidemiologia - Instituto de Saude Publica da Universidade do Porto (EPIUnit) [UIDB/04750/2020]; Programa Operacional de Saude - Saude XXI; Quadro Comunitario de Apoio III; Administracao Regional de Saude Norte (Regional Department of Ministry of Health); FCT [CEECIND/02386/2018]</t>
  </si>
  <si>
    <t>European Regional Development Fund (FEDER), through the Competitiveness and Internationalization Operational Programme(European Union (EU)); Foundation for Science and Technology (FCT)(Fundacao para a Ciencia e a Tecnologia (FCT)); FEDER through the Operational Programme Competitiveness and Internationalization; Foundation for Science and Technology - FCT (PortugueseMinistry of Science, Technology and Higher Education) under the Unidade de Investigacao em Epidemiologia - Instituto de Saude Publica da Universidade do Porto (EPIUnit)(Fundacao para a Ciencia e a Tecnologia (FCT)); Programa Operacional de Saude - Saude XXI; Quadro Comunitario de Apoio III; Administracao Regional de Saude Norte (Regional Department of Ministry of Health); FCT(Fundacao para a Ciencia e a Tecnologia (FCT))</t>
  </si>
  <si>
    <t>The EXALAR 21 projectwas funded by the European Regional Development Fund (FEDER), through the Competitiveness and Internationalization Operational Programme, and by national funding from the Foundation for Science and Technology (FCT) under the scope of the project PTDC/GES-AMB/30193/2017 (POCI-01-0145-FEDER-030193, 02/SAICT/2017 - Project no 30193).; This study was also funded by FEDER through the Operational Programme Competitiveness and Internationalization and national funding from the Foundation for Science and Technology - FCT (PortugueseMinistry of Science, Technology and Higher Education) under the Unidade de Investigacao em Epidemiologia - Instituto de Saude Publica da Universidade do Porto (EPIUnit) (UIDB/04750/2020).; G21 was funded by Programa Operacional de Saude - Saude XXI, Quadro Comunitario de Apoio III and Administracao Regional de Saude Norte (Regional Department of Ministry of Health).; Ana Isabel Ribeiro was supported by National Funds through FCT, under the programme of 'Stimulus of Scientific Employment Individual Support' within the contract CEECIND/02386/2018.</t>
  </si>
  <si>
    <t>MAR 20</t>
  </si>
  <si>
    <t>10.1016/j.scitotenv.2021.151859</t>
  </si>
  <si>
    <t>ZQ6SM</t>
  </si>
  <si>
    <t>WOS:000767232600015</t>
  </si>
  <si>
    <t>How green and blue spaces can effect intelligence in children</t>
  </si>
  <si>
    <t>Wechsler Intelligence Scale for Children (WISC-III)</t>
  </si>
  <si>
    <t>Portugal</t>
  </si>
  <si>
    <t>Ha, J; Kim, HJ; With, KA</t>
  </si>
  <si>
    <t>Ha, Jaeyoung; Kim, Hyung Jin; With, Kimberly A.</t>
  </si>
  <si>
    <t>Urban green space alone is not enough: A landscape analysis linking the spatial distribution of urban green space to mental health in the city of Chicago</t>
  </si>
  <si>
    <t>Landscape metrics; Landscape pattern; Landscape ecology; Mental well-being; Restorative environments; Urban landscapes</t>
  </si>
  <si>
    <t>ROAD TRAFFIC NOISE; PHYSICAL-ACTIVITY; NEIGHBORHOOD GREEN; SPECIES-RICHNESS; SOCIAL COHESION; BLUE SPACE; METRICS; POPULATION; BIODIVERSITY; WALKING</t>
  </si>
  <si>
    <t>Research on the association between urban green space and mental health has largely focused on the presence or quantity of green space, rather than on the spatial distribution of green spaces within the urban landscape. We therefore investigated the relationship between the amount, composition, and spatial distribution of urban green space and the level of psychological distress reported by residents of a large metropolitan city (Chicago, Illinois, USA). We used mental health data collected from 6405 residents in 61 communities by the Chicago Department of Public Health as part of their Healthy Chicago Survey, and quantified landscape metrics related to the amount and configuration of green space within these community 'landscapes'. Using generalized linear mixed models that controlled for socio-economic confounds, we found that residents reported less psychological distress within urban landscapes that had small-sized water bodies and greater distances between forested areas, which tend to characterize the distribution of large forest parks throughout Chicago. In terms of total green space, however, psychological distress levels were lower in landscapes having a disaggregated distribution of urban green spaces (i.e., many small green spaces) relative to a single (or a few) large green spaces. Our study thus highlights that the configuration of urban green space may be as important as the amount of green space to the mental health of urban residents.</t>
  </si>
  <si>
    <t>[Ha, Jaeyoung] Kansas State Univ, Coll Architecture Planning &amp; Design, Manhattan, KS 66506 USA; [Kim, Hyung Jin] Kansas State Univ, Dept Landscape Architecture &amp; Reg &amp; Community Pla, Manhattan, KS 66506 USA; [With, Kimberly A.] Kansas State Univ, Div Biol, Lab Landscape &amp; Conservat Ecol, Manhattan, KS 66506 USA</t>
  </si>
  <si>
    <t>Kansas State University; Kansas State University; Kansas State University</t>
  </si>
  <si>
    <t>Ha, J (corresponding author), Kansas State Univ, 2091 Seaton Hall,920C N Martin Luther King Jr Dr, Manhattan, KS 66506 USA.</t>
  </si>
  <si>
    <t>ha2096@ksu.edu</t>
  </si>
  <si>
    <t>Ha, Jaeyoung/GXV-1862-2022</t>
  </si>
  <si>
    <t>Ha, Jaeyoung/0000-0002-8096-0567</t>
  </si>
  <si>
    <t>10.1016/j.landurbplan.2021.104309</t>
  </si>
  <si>
    <t>XH7EM</t>
  </si>
  <si>
    <t>WOS:000725593300004</t>
  </si>
  <si>
    <t xml:space="preserve">How spatial distriution of green space effects mental health </t>
  </si>
  <si>
    <t>Health Chicago Questionaire results</t>
  </si>
  <si>
    <t>USA (Chicago)</t>
  </si>
  <si>
    <t>Vos, S; Bijnens, EM; Renaers, E; Croons, H; Van der Stukken, C; Martens, DS; Plusquin, M; Nawrot, TS</t>
  </si>
  <si>
    <t>Vos, Stijn; Bijnens, Esmee M.; Renaers, Eleni; Croons, Hanne; Van der Stukken, Charlotte; Martens, Dries S.; Plusquin, Michelle; Nawrot, Tim S.</t>
  </si>
  <si>
    <t>Residential green space is associated with a buffering effect on stress responses during the COVID-19 pandemic in mothers of young children, a prospective study</t>
  </si>
  <si>
    <t>COVID-19; Well-being; Stress; Green space; Nature; Epidemiology</t>
  </si>
  <si>
    <t>LONG-TERM EXPOSURE; BLUE SPACES; MORTALITY; PREVALENCE; HEALTH</t>
  </si>
  <si>
    <t>Green spaces are associated with increased well-being and reduced risk of developing psychiatric disorders. In this study, we aimed to investigate how residential proximity to green spaces was associated with stress response buffering during the COVID-19 pandemic in a prospective cohort of young mothers. We collected information on stress in 766 mothers (mean age: 36.6 years) from the ENVIRONAGE birth cohort at baseline of the study (from 2010 onwards), and during the COVID-19 pandemic (from December 2020 until May 2021). Self-reported stress responses due to the COVID-19 pandemic were the outcome measure. Green space was quantified in several radiuses around the residence based on high-resolution (1 m2) data. Using ordinal logistic regression, we estimated the odds of better resistance to reported stress, while controlling for age, socio-economic status, stress related to care for children, urbanicity, and household change in income during the pandemic. In sensitivity analyses we corrected for pre-pandemic stress levels, BMI, physical activity, and changes in health-related habits during the pandemic. We found that for an inter-quartile range contrast in residential green space 300 m and 500 m around the residence, participants were respectively 24% (OR = 1.24, 95%CI: 1.03 to 1.51) and 29% (OR = 1.29, 95%CI: 1.04 to 1.60) more likely to be in a more resistant category, independent of the aforementioned factors. These results remained robust after additionally controlling for pre-pandemic stress levels, BMI, physical activity, smoking status, urbanicity, psychological disorders, and changes in health-related habits during the pandemic. This prospective study in young mothers highlights the importance of proximity to green spaces, especially during challenging times.</t>
  </si>
  <si>
    <t>[Vos, Stijn; Bijnens, Esmee M.; Renaers, Eleni; Croons, Hanne; Van der Stukken, Charlotte; Martens, Dries S.; Plusquin, Michelle; Nawrot, Tim S.] Hasselt Univ, Ctr Environm Sci, Agoralaan Bldg D, B-3590 Diepenbeek, Belgium; [Bijnens, Esmee M.] Ghent Univ Hosp, Dept Human Struct &amp; Repair, Corneel Heymanslaan 10, B-9000 Ghent, Belgium; [Nawrot, Tim S.] Leuven Univ KU Leuven, Dept Publ Hlth, Kapucijnenvoer 35, B-3000 Leuven, Belgium</t>
  </si>
  <si>
    <t>Hasselt University; Ghent University; Ghent University Hospital; KU Leuven</t>
  </si>
  <si>
    <t>Nawrot, TS (corresponding author), Agoralaan Bldg D, B-3590 Diepenbeek, Belgium.</t>
  </si>
  <si>
    <t>tim.nawrot@uhasselt.be</t>
  </si>
  <si>
    <t>VOS, Stijn/0000-0003-4835-4855; Bijnens, Esmee/0000-0001-8537-843X; Plusquin, Michelle/0000-0002-7271-9722; Renaers, Eleni/0000-0001-7535-1970; CROONS, Hanne/0000-0002-9903-2146; Nawrot, Tim/0000-0002-3583-3593</t>
  </si>
  <si>
    <t>MAY 15</t>
  </si>
  <si>
    <t>10.1016/j.envres.2021.112603</t>
  </si>
  <si>
    <t>JAN 2022</t>
  </si>
  <si>
    <t>YU4RW</t>
  </si>
  <si>
    <t>WOS:000752033300008</t>
  </si>
  <si>
    <t>How proximity to greenspace can improve resistance to stress in future mothers</t>
  </si>
  <si>
    <t>longitudinal (1 yr)</t>
  </si>
  <si>
    <t>Huang, DK; Jiang, B; Yuan, L</t>
  </si>
  <si>
    <t>Huang, Dengkai; Jiang, Bin; Yuan, Lei</t>
  </si>
  <si>
    <t>Analyzing the effects of nature exposure on perceived satisfaction with running routes: An activity path-based measure approach</t>
  </si>
  <si>
    <t>Running satisfaction; Eye-level greenness; Top-down greenness; Public participation GIS; Google Street View; Mapped routes</t>
  </si>
  <si>
    <t>GOOGLE STREET VIEW; PHYSICAL-ACTIVITY; BUILT ENVIRONMENT; URBAN FORESTS; ASSOCIATIONS; HEALTH; WALKING; BLUE; INACTIVITY; BEHAVIOR</t>
  </si>
  <si>
    <t>Studies on the linkages between nature exposure and physical activities often focus simply on the immediate vicinity of home locations, but path-based exercises, such as running and cycling, are continuous activities and cover a broad spatial extent. Thus, the traditional home buffer approach fails to acknowledge the settings where road running actually occurs. This study employed an activity path-based measure approach using public participation GIS (PPGIS) to investigate the associations between running satisfaction and nature exposure. The mapped routes (N=545) that included an assessment of satisfaction level were collected from 249 runners resided in the Helsinki Metropolitan Area, Finland. Logistic regression analyses revealed a positive association between running satisfaction and nature exposure, including eye-level greenness, top-down greenness and blue space density. Top-down greenness was assessed by Normalized Difference Vegetation Index (NDVI) and the eye-level greenness by Green View Index (GVI), the latter one of which uses a deep learning algorithm. Running environment was more satisfying in those routes with more public transport nodes. Other traffic-related factors breaking the momentum of runners such as traffic light density were inversely related to running satisfaction. Demographic characteristics such as education background also played a significant role in the perceived satisfaction with running routes. The positive impacts of nature exposure on running satisfaction further verify the linkages between landscape and public health.</t>
  </si>
  <si>
    <t>[Huang, Dengkai; Yuan, Lei] Shenzhen Univ, Sch Architecture &amp; Urban Planning, Lab Optimizing Design Built Environm, Shenzhen 518060, Peoples R China; [Jiang, Bin] Univ Hong Kong, Virtual Real Lab Urban Environm &amp; Human Hlth, HKUrbanlabs, Hong Kong, Peoples R China; [Jiang, Bin] Univ Hong Kong, Dept Architecture, Div Landscape Architecture, Hong Kong, Peoples R China; [Yuan, Lei] Shenzhen Univ, 3688 Nanhai Rd, Shenzhen 518060, Peoples R China</t>
  </si>
  <si>
    <t>Shenzhen University; University of Hong Kong; University of Hong Kong; Shenzhen University</t>
  </si>
  <si>
    <t>Yuan, L (corresponding author), Shenzhen Univ, 3688 Nanhai Rd, Shenzhen 518060, Peoples R China.</t>
  </si>
  <si>
    <t>arhdk@hotmail.com; jiangbin@hku.hk; yuanlei@szu.edu.cn</t>
  </si>
  <si>
    <t>Huang, Dengkai/0000-0001-5263-4185; Jiang, Bin/0000-0003-2440-3157</t>
  </si>
  <si>
    <t>Science and Technology Planning Project of Shenzhen Municipality (CN) [JCYJ20180305125219726]; National and provincial supporting projects of Shenzhen collaborative innovation technology plan [2019175353]</t>
  </si>
  <si>
    <t>Science and Technology Planning Project of Shenzhen Municipality (CN); National and provincial supporting projects of Shenzhen collaborative innovation technology plan</t>
  </si>
  <si>
    <t>Acknowledgements This study was supported by the Science and Technology Planning Project of Shenzhen Municipality (CN) (No. JCYJ20180305125219726) and the National and provincial supporting projects of Shenzhen collaborative innovation technology plan (No. 2019175353) . We also acknowledge the anonymous reviewers for their constructive comments on the early manuscript of this paper.</t>
  </si>
  <si>
    <t>10.1016/j.ufug.2022.127480</t>
  </si>
  <si>
    <t>0X3KB</t>
  </si>
  <si>
    <t>WOS:000789608500008</t>
  </si>
  <si>
    <t>PPGIS running satisfaction and exposaure to nature</t>
  </si>
  <si>
    <t>Maptionnaire surveys</t>
  </si>
  <si>
    <t>Carlson, AK; Boonstra, WJ; Joosse, S; Rubenstein, DI; Levin, SA</t>
  </si>
  <si>
    <t>Carlson, Andrew K.; Boonstra, Wiebren J.; Joosse, Sofie; Rubenstein, Daniel, I; Levin, Simon A.</t>
  </si>
  <si>
    <t>More than ponds amid skyscrapers: Urban fisheries as multiscalar human-natural systems</t>
  </si>
  <si>
    <t>AQUATIC ECOSYSTEM HEALTH &amp; MANAGEMENT</t>
  </si>
  <si>
    <t>fisheries management; metacoupling; telecoupling; urban ecology</t>
  </si>
  <si>
    <t>FISHING PROGRAMS</t>
  </si>
  <si>
    <t>Although social-ecological fisheries research is growing, comparatively little attention is paid to fisheries in urban environments. We aim to address this imbalance, because as cities expand worldwide, we expect urban fisheries to become more widespread and important in providing food/nutrition security, recreation, community well-being, and other benefits to fisheries stakeholders and urban dwellers across spatiotemporal scales. This paper contains a first analysis of the economic and sociocultural provisions, trade-offs, and dilemmas associated with urban fisheries to yield insights for sustainable management and planning of urban blue space. To address these objectives, we use the metacoupling framework, a method for assessing human-nature interactions within and across adjacent and distant fisheries systems. We use examples from multiple countries and data from the United States to illustrate how urban fisheries encompass flows of people, money, and information across multiple spatiotemporal scales and provide nutritional, recreational, social, and cultural benefits to fisheries stakeholders. Throughout the world, urban fisheries are influenced by wide-ranging human needs (e.g. food provisioning, recreation, aquatic resource education) that generate social-ecological effects within and beyond cities. Our analysis yields insights for developing holistic, metacoupling-informed management approaches that address the diverse social-ecological objectives and trade-offs involved in sustainable development of urban fisheries.</t>
  </si>
  <si>
    <t>[Carlson, Andrew K.; Rubenstein, Daniel, I; Levin, Simon A.] Princeton Univ, Dept Ecol &amp; Evolutionary Biol, Princeton, NJ 08544 USA; [Carlson, Andrew K.; Rubenstein, Daniel, I; Levin, Simon A.] Princeton Univ, High Meadows Environm Inst, Princeton, NJ 08544 USA; [Boonstra, Wiebren J.] Uppsala Univ, Dept Earth Sci, S-75236 Uppsala, Sweden; [Joosse, Sofie] Swedish Univ Agr Sci, Dept Urban &amp; Rural Dev, S-75007 Uppsala, Sweden</t>
  </si>
  <si>
    <t>Princeton University; Princeton University; Uppsala University; Swedish University of Agricultural Sciences</t>
  </si>
  <si>
    <t>Carlson, AK (corresponding author), Princeton Univ, Dept Ecol &amp; Evolutionary Biol, Princeton, NJ 08544 USA.;Carlson, AK (corresponding author), Princeton Univ, High Meadows Environm Inst, Princeton, NJ 08544 USA.</t>
  </si>
  <si>
    <t>andrew.carlson@ufl.edu</t>
  </si>
  <si>
    <t>Joosse, Sofie/AGW-3400-2022; Boonstra, Wiebren Johannes/H-9447-2019</t>
  </si>
  <si>
    <t>Joosse, Sofie/0000-0002-8724-0183; Boonstra, Wiebren Johannes/0000-0002-1191-0574</t>
  </si>
  <si>
    <t>Princeton University, Office of the Dean for Research; Princeton University, High Meadows Environmental Institute; Princeton University, Andlinger Center for Energy and the Environment; Princeton University, Office of the Provost International Fund; FORMAS, the Swedish Research Council for Sustainable Development [2019-01901]; Formas [2019-01901] Funding Source: Formas; Vinnova [2019-01901] Funding Source: Vinnova</t>
  </si>
  <si>
    <t>Princeton University, Office of the Dean for Research; Princeton University, High Meadows Environmental Institute; Princeton University, Andlinger Center for Energy and the Environment; Princeton University, Office of the Provost International Fund; FORMAS, the Swedish Research Council for Sustainable Development; Formas(Swedish Research Council Formas); Vinnova(Vinnova)</t>
  </si>
  <si>
    <t>We thank multiple entities at Princeton University-including the Office of the Dean for Research, High Meadows Environmental Institute, Andlinger Center for Energy and the Environment, and the Office of the Provost International Fund-for providing monetary support for this research. FORMAS, the Swedish Research Council for Sustainable Development, also supported research through grant 2019-01901 The blue urban commons. Using the case of street fishing for planning the sustainable and just city.</t>
  </si>
  <si>
    <t>MICHIGAN STATE UNIV PRESS</t>
  </si>
  <si>
    <t>E LANSING</t>
  </si>
  <si>
    <t>1405 SOUTH HARRISON RD, STE 25 MANLY MILES BUILDING, E LANSING, MI 48823-5202 USA</t>
  </si>
  <si>
    <t>1463-4988</t>
  </si>
  <si>
    <t>1539-4077</t>
  </si>
  <si>
    <t>AQUAT ECOSYST HEALTH</t>
  </si>
  <si>
    <t>Aquat. Ecosyst. Health Manag.</t>
  </si>
  <si>
    <t>JAN-MAR</t>
  </si>
  <si>
    <t>10.14321/aehm.025.01.49</t>
  </si>
  <si>
    <t>Ecology; Environmental Sciences; Marine &amp; Freshwater Biology; Water Resources</t>
  </si>
  <si>
    <t>Environmental Sciences &amp; Ecology; Marine &amp; Freshwater Biology; Water Resources</t>
  </si>
  <si>
    <t>2D4CO</t>
  </si>
  <si>
    <t>WOS:000811497400007</t>
  </si>
  <si>
    <t>Poulsen, MN; Nordberg, CM; Fiedler, A; DeWalle, J; Mercer, D; Schwartz, BS</t>
  </si>
  <si>
    <t>Poulsen, Melissa N.; Nordberg, Cara M.; Fiedler, Allison; DeWalle, Joseph; Mercer, Dione; Schwartz, Brian S.</t>
  </si>
  <si>
    <t>Factors associated with visiting freshwater blue space: The role of restoration and relations with mental health and well-being</t>
  </si>
  <si>
    <t>Health; Nature; Outdoor environment; Perceived stress; Life satisfaction</t>
  </si>
  <si>
    <t>STRESS; GREEN; BENEFITS; ENVIRONMENTS; DEPRESSION; DISORDERS; EXPOSURE</t>
  </si>
  <si>
    <t>Blue space exposure may benefit health and well-being, but salutogenic effects remain underexplored in noncoastal and non-urban areas, as do correlates of visit frequency to freshwater blue space (FBS). We mailed a questionnaire to adults in 40 small towns in central and northeast Pennsylvania, USA, with varying proximity to the region's primary waterbody to assess FBS visits, benefits and barriers of visiting, restoration experienced, and mental health and well-being (perceived stress, general mental health, life satisfaction). We used multivariate multinomial regression to examine predictors of FBS visit frequency and linear and logistic regression to evaluate associations of FBS visit frequency with health outcomes, using mixed effects models that accounted for spatial clustering. Of 10,871 mailed questionnaires, 1,122 individuals (11%) responded and provided information to characterize FBS visits. Responders were older than non-responders but did not differ by sex or community setting. Nearly one-fifth (19%) never visited FBS, and 27%, 35%, and 19% reported low, moderate, and high visit frequency, respectively. Correlates of visit frequency included perceived proximity, higher education, younger age, better self-reported health, and more frequent physical activity. Relaxation/stress-relief was identified as the most important benefit to visiting FBS, and among the 868 individuals who visited FBS, restoration was associated with visit frequency. FBS visit frequency was associated with perceived stress, but not mental health or life satisfaction. Findings highlight the socioeconomic patterning of FBS visits, the importance of access in facilitating visits, and reveal opportunities to develop FBS access points that increase its use, bringing potential restorative benefits.</t>
  </si>
  <si>
    <t>[Poulsen, Melissa N.; Nordberg, Cara M.; Fiedler, Allison; DeWalle, Joseph; Mercer, Dione; Schwartz, Brian S.] Geisinger, Dept Populat Hlth Sci, Danville, PA USA; [Schwartz, Brian S.] Johns Hopkins Bloomberg Sch Publ Hlth, Dept Environm Hlth &amp; Engn, Baltimore, MD USA; [Schwartz, Brian S.] Johns Hopkins Bloomberg Sch Publ Hlth, Dept Epidemiol, Baltimore, MD USA; [Schwartz, Brian S.] Johns Hopkins Sch Med, Dept Med, Baltimore, MD USA</t>
  </si>
  <si>
    <t>Johns Hopkins University; Johns Hopkins Bloomberg School of Public Health; Johns Hopkins University; Johns Hopkins Bloomberg School of Public Health; Johns Hopkins University; Johns Hopkins Medicine</t>
  </si>
  <si>
    <t>Poulsen, MN (corresponding author), 100 North Acad Ave, Danville, PA 17822 USA.</t>
  </si>
  <si>
    <t>mpoulsen@geisinger.edu; cmnordberg@geisinger.edu; amfiedler@geisinger.edu; jjdewalle@geisinger.edu; dgmercer@gmail.com; bschwar1@jhu.edu</t>
  </si>
  <si>
    <t>10.1016/j.landurbplan.2021.104282</t>
  </si>
  <si>
    <t>WK7UC</t>
  </si>
  <si>
    <t>WOS:000709927500006</t>
  </si>
  <si>
    <t>How visitis to freshwater blue space effect health (EXPOSURE)</t>
  </si>
  <si>
    <t>Questionaire through mail</t>
  </si>
  <si>
    <t>USA (Pennysylvania)</t>
  </si>
  <si>
    <t>Linz, S; Jackson, KJ; Atkins, R</t>
  </si>
  <si>
    <t>Linz, Sheila; Jackson, Kathleen J.; Atkins, Rahshida</t>
  </si>
  <si>
    <t>Using Mindfulness-Informed Photovoice to Explore Stress and Coping in Women Residing in Public Housing in a Low-Resourced Community</t>
  </si>
  <si>
    <t>JOURNAL OF PSYCHOSOCIAL NURSING AND MENTAL HEALTH SERVICES</t>
  </si>
  <si>
    <t>BLUE SPACE; HEALTH; SELF; HOME; SPIRITUALITY; PERCEPTIONS; AESTHETICS; PLACE</t>
  </si>
  <si>
    <t>The setting of the current study was an urban city where the majority of public housing residents are single females living in poverty. An adapted women's mindfulness program, including a Photovoice exercise, was offered to this vulnerable population. Stress contributes to poor mental/physical health. A Photovoice research method was used to elucidate the stressors and coping facilitators used by participants. Eleven participants took a digital photography workshop and then photographed stressors and coping facilitators. All 275 photographic submissions were analyzed thematically. Coping themes were: Aesthetics: Man-Made and Natural; Relationships: Pets and People; Self-Esteem and Cultural Identity; and Inspiration Through Religion and Social Media Messaging. Stress themes were: Urban Disarray and Existential Threat/Danger. Results showed that social connectedness, spirituality, improving neighborhood aesthetics, use of social media, and access to nature could support coping.</t>
  </si>
  <si>
    <t>[Linz, Sheila; Jackson, Kathleen J.] Rutgers State Univ, Sch Nursing Camden, 530 Fed St, Camden, NJ 08102 USA; [Atkins, Rahshida] Coll New Jersey, Sch Nursing Hlth &amp; Exercise Sci, Ewing, NJ USA</t>
  </si>
  <si>
    <t>Rutgers State University Camden; Rutgers State University New Brunswick; College of New Jersey</t>
  </si>
  <si>
    <t>Linz, S (corresponding author), Rutgers State Univ, Sch Nursing Camden, 530 Fed St, Camden, NJ 08102 USA.</t>
  </si>
  <si>
    <t>sheila.linz@rutgers.edu</t>
  </si>
  <si>
    <t>Atkins, Rahshida/AAD-7574-2019</t>
  </si>
  <si>
    <t>SLACK INC</t>
  </si>
  <si>
    <t>THOROFARE</t>
  </si>
  <si>
    <t>6900 GROVE RD, THOROFARE, NJ 08086 USA</t>
  </si>
  <si>
    <t>0279-3695</t>
  </si>
  <si>
    <t>1938-2413</t>
  </si>
  <si>
    <t>J PSYCHOSOC NURS MEN</t>
  </si>
  <si>
    <t>J. Psychosoc. Nurs. Ment. Health Serv.</t>
  </si>
  <si>
    <t>10.3928/02793695-20211214-01</t>
  </si>
  <si>
    <t>DEC 2021</t>
  </si>
  <si>
    <t>Nursing</t>
  </si>
  <si>
    <t>3B2IQ</t>
  </si>
  <si>
    <t>WOS:000752111100001</t>
  </si>
  <si>
    <t>Photos of factors which help with stress coping and factors which cause stress</t>
  </si>
  <si>
    <t>Thematic photos</t>
  </si>
  <si>
    <t>Lopez, ST; Barrionuevo, MD; Rodriguez-Labajos, B</t>
  </si>
  <si>
    <t>Torres Lopez, Susana; de los Angeles Barrionuevo, Maria; Rodriguez-Labajos, Beatriz</t>
  </si>
  <si>
    <t>A new operational approach for understanding water-related interactions to achieve water sustainability in growing cities</t>
  </si>
  <si>
    <t>ENVIRONMENT DEVELOPMENT AND SUSTAINABILITY</t>
  </si>
  <si>
    <t>Water resources; Cities; Urban sustainability; Water management</t>
  </si>
  <si>
    <t>ECOSYSTEM SERVICES; URBAN; RESOURCES; ECOLOGY; SYSTEMS; CITY; SANITATION; MANAGEMENT; FOOTPRINT; INDICATOR</t>
  </si>
  <si>
    <t>About 56 percent of the world's population currently lives in cities. Anthropogenic activities have both directly and indirectly modified their environment. Therefore, management actions at the urban level determine whether or not cities are heading toward sustainability. Consequently, water management is in need of a clear insight of the social and ecological water-related interactions. Thus, a new operational approach is proposed for a better understanding of the interactions between the water cycle, cities and the society. In our approach, eleven key issues and their interactions emerge from an analysis of 371 documents published between 2012 and 2018. The interactions between different key issues were examined through four main foci of analysis: water resources, urban throughput, water equity, and water governance and financing. Those main foci help to comprehend water as a holistic element intertwined in urban areas. In addition, our approach provides six challenges to guide the stakeholders in decision-making processes: how to recognize, integrate, and/or restore water-related ecosystem services, how to maintain and improve the supporting green and blue spaces, how to guarantee the quality and quantity of water resources and the water supplied and used, how to ensure public and social health and well-being of the citizens, how to prevent and manage water-related conflicts, and how to make informed and equitable decisions on water management at urban level?</t>
  </si>
  <si>
    <t>[Torres Lopez, Susana; Rodriguez-Labajos, Beatriz] Univ Autonoma Barcelona ICTA UAB, Inst Environm Sci &amp; Technol, Bellaterra 08193, Spain; [de los Angeles Barrionuevo, Maria] Pontificia Univ Catolica Ecuador, Apartado 17-01-2184, Quito, Ecuador; [de los Angeles Barrionuevo, Maria] Fac Latinoamer Ciencias Sociales FLACSO, Quito, Ecuador; [Rodriguez-Labajos, Beatriz] Univ Calif Berkeley, Energy &amp; Resources Grp, Berkeley, CA 94720 USA</t>
  </si>
  <si>
    <t>Pontificia Universidad Catolica del Ecuador; University of California System; University of California Berkeley</t>
  </si>
  <si>
    <t>Lopez, ST (corresponding author), Univ Autonoma Barcelona ICTA UAB, Inst Environm Sci &amp; Technol, Bellaterra 08193, Spain.</t>
  </si>
  <si>
    <t>susanatorreslo@hotmail.com</t>
  </si>
  <si>
    <t>Rodriguez-Labajos, Beatriz/I-6257-2015</t>
  </si>
  <si>
    <t>Rodriguez-Labajos, Beatriz/0000-0002-0559-910X</t>
  </si>
  <si>
    <t>European Union [797444]; Tapirus Cia. Ltda. (Ecuador); Marie Curie Actions (MSCA) [797444] Funding Source: Marie Curie Actions (MSCA)</t>
  </si>
  <si>
    <t>European Union(European Union (EU)); Tapirus Cia. Ltda. (Ecuador); Marie Curie Actions (MSCA)(Marie Curie Actions)</t>
  </si>
  <si>
    <t>We are grateful to Tapirus Cia. Ltda. (Ecuador) for financing this investigation. We as well thank Kristina Cvetich's assistance with English language editing and proofreading. BRL acknowledges funding from the European Union's Horizon 2020 research and innovation programme under the Marie Skodowska-Curie Grant Agreement N? 797444 (CLAMOR).</t>
  </si>
  <si>
    <t>1387-585X</t>
  </si>
  <si>
    <t>1573-2975</t>
  </si>
  <si>
    <t>ENVIRON DEV SUSTAIN</t>
  </si>
  <si>
    <t>Environ. Dev. Sustain.</t>
  </si>
  <si>
    <t>10.1007/s10668-021-02045-0</t>
  </si>
  <si>
    <t>Green &amp; Sustainable Science &amp; Technology; Environmental Sciences</t>
  </si>
  <si>
    <t>7S6RG</t>
  </si>
  <si>
    <t>WOS:000732497900001</t>
  </si>
  <si>
    <t>Planning and infrastructure</t>
  </si>
  <si>
    <t>Multi</t>
  </si>
  <si>
    <t>Joosse, S; Hensle, L; Boonstra, WJ; Ponzelar, C; Olsson, J</t>
  </si>
  <si>
    <t>Joosse, Sofie; Hensle, Lara; Boonstra, Wiebren J. J.; Ponzelar, Charlotte; Olsson, Jens</t>
  </si>
  <si>
    <t>Fishing in the city for food-a paradigmatic case of sustainability in urban blue space</t>
  </si>
  <si>
    <t>NPJ URBAN SUSTAINABILITY</t>
  </si>
  <si>
    <t>GREEN INFRASTRUCTURE; CONSUMPTION PATTERNS; FISHERS KNOWLEDGE; ECOSYSTEM; HEALTH; CHALLENGE; COMMUNITY; STRUGGLE; JUSTICE; ANGLERS</t>
  </si>
  <si>
    <t>This article presents fishing in the city for food (FCF) as a trenchant example of urban ecology, and the ways in which urban dwellers use, interact with, and depend on urban blue spaces. Our literature review demonstrates how FCF is studied in a diverse body of scientific publications that rarely draw on each other. As such, FCF and its relevance for sustainable and just planning of urban blue space remain relatively unknown. Using the literature review, a survey of FCF in European capitals, and examples from FCF in Stockholm, we demonstrate how attention to FCF raises pertinent and interrelated questions about access to water, food and recreation; human health; animal welfare and aquatic urban biodiversity.</t>
  </si>
  <si>
    <t>[Joosse, Sofie; Hensle, Lara; Ponzelar, Charlotte] Swedish Univ Agr Sci, Dept Urban &amp; Rural Dev, Uppsala, Sweden; [Boonstra, Wiebren J. J.] Uppsala Univ, Dept Earth Sci, Uppsala, Sweden; [Olsson, Jens] Swedish Univ Agr Sci, Inst Coastal Res, Dept Aquat Resources, Oregrund, Sweden</t>
  </si>
  <si>
    <t>Swedish University of Agricultural Sciences; Uppsala University; Swedish University of Agricultural Sciences</t>
  </si>
  <si>
    <t>Joosse, S (corresponding author), Swedish Univ Agr Sci, Dept Urban &amp; Rural Dev, Uppsala, Sweden.</t>
  </si>
  <si>
    <t>Sofie.Joosse@slu.se</t>
  </si>
  <si>
    <t>Joosse, Sofie/AGW-3400-2022</t>
  </si>
  <si>
    <t>Joosse, Sofie/0000-0002-8724-0183</t>
  </si>
  <si>
    <t>FORMAS [2015-01053, 2019-01901]; Vinnova [2019-01901] Funding Source: Vinnova; Forte [2015-01053] Funding Source: Forte; Formas [2019-01901, 2015-01053] Funding Source: Formas</t>
  </si>
  <si>
    <t>FORMAS(Swedish Research Council Formas); Vinnova(Vinnova); Forte(Swedish Research Council for Health Working Life &amp; Welfare (Forte)); Formas(Swedish Research Council Formas)</t>
  </si>
  <si>
    <t>AcknowledgementsThis research has been supported by FORMAS (grant Nos. 2015-01053 and 2019-01901).</t>
  </si>
  <si>
    <t>SPRINGERNATURE</t>
  </si>
  <si>
    <t>CAMPUS, 4 CRINAN ST, LONDON, N1 9XW, ENGLAND</t>
  </si>
  <si>
    <t>2661-8001</t>
  </si>
  <si>
    <t>NPJ URBAN SUSTAIN</t>
  </si>
  <si>
    <t>npj Urban Sustain.</t>
  </si>
  <si>
    <t>DEC 20</t>
  </si>
  <si>
    <t>10.1038/s42949-021-00043-9</t>
  </si>
  <si>
    <t>Environmental Studies; Urban Studies</t>
  </si>
  <si>
    <t>Emerging Sources Citation Index (ESCI)</t>
  </si>
  <si>
    <t>Environmental Sciences &amp; Ecology; Urban Studies</t>
  </si>
  <si>
    <t>I2JX2</t>
  </si>
  <si>
    <t>WOS:001001109500001</t>
  </si>
  <si>
    <t>`</t>
  </si>
  <si>
    <t>European Capitals</t>
  </si>
  <si>
    <t>Smith, N; Georgiou, M; King, AC; Tieges, Z; Chastin, S</t>
  </si>
  <si>
    <t>Smith, Niamh; Georgiou, Michail; King, Abby C.; Tieges, Zoe; Chastin, Sebastien</t>
  </si>
  <si>
    <t>Factors influencing usage of urban blue spaces: A systems-based approach to identify leverage points</t>
  </si>
  <si>
    <t>Blue space; Urban environment; Public health; Systems analysis; Qualitative data</t>
  </si>
  <si>
    <t>GREEN SPACES; HUMAN HEALTH; PERSPECTIVE; COMPONENTS; MORTALITY; EXPOSURE</t>
  </si>
  <si>
    <t>Urban blue spaces may have salutogenic health benefits. It is crucial to understand the factors that influence the use of urban blue spaces so that urban populations can benefit equitably. A system map of factors influencing usage was developed by qualitatively analysing 203 intercept interviews conducted with people actively using the towpath along the canal in North Glasgow, Scotland. Network analysis was used to analyse the system map's structure identifying Exercise &amp; Health and Urban Nature as key leverage points and Cleanliness &amp; Maintenance as the key area for improvement. Findings could be used to inform the management, governance and revitalisation of urban blue spaces with the ultimate aim of maximising their potential to be equitable, sustainable and salutogenic.</t>
  </si>
  <si>
    <t>[Smith, Niamh; Georgiou, Michail; Chastin, Sebastien] Glasgow Caledonian Univ, Sch Hlth &amp; Life Sci, Glasgow, Lanark, Scotland; [King, Abby C.] Stanford Univ, Sch Med, Stanford Prevent Res Ctr, Dept Epidemiol, Stanford, CA 94305 USA; [King, Abby C.] Stanford Univ, Sch Med, Stanford Prevent Res Ctr, Dept Populat Hlth &amp; Med, Stanford, CA 94305 USA; [Tieges, Zoe] Univ Edinburgh, Usher Inst, Geriatr Med, Edinburgh, Midlothian, Scotland; [Tieges, Zoe] Glasgow Caledonian Univ, Sch Comp Engn &amp; Built Environm, Glasgow, Lanark, Scotland; [Chastin, Sebastien] Univ Ghent, Dept Movement &amp; Sports Sci, Ghent, Belgium</t>
  </si>
  <si>
    <t>Glasgow Caledonian University; Stanford University; Stanford University; University of Edinburgh; Glasgow Caledonian University; Ghent University</t>
  </si>
  <si>
    <t>Smith, N (corresponding author), Glasgow Caledonian Univ, Sch Hlth &amp; Life Sci, Glasgow, Lanark, Scotland.</t>
  </si>
  <si>
    <t>niamh.smith@gcu.ac.uk; michail.georgiou@gcu.ac.uk; king@stanford.edu; zoe.tieges@gcu.ac.uk; sebastien.chastin@gcu.ac.uk</t>
  </si>
  <si>
    <t>Georgiou, Michail/0000-0002-7652-8683; Chastin, Sebastien/0000-0003-1421-9348; Tieges, Zoe/0000-0002-3820-3917; Smith, Niamh/0000-0002-9255-2528; King, Abby/0000-0002-7949-8811</t>
  </si>
  <si>
    <t>10.1016/j.healthplace.2021.102735</t>
  </si>
  <si>
    <t>XW0BV</t>
  </si>
  <si>
    <t>Green Accepted</t>
  </si>
  <si>
    <t>WOS:000735296600010</t>
  </si>
  <si>
    <t>Factors influencing usage of blue spaces</t>
  </si>
  <si>
    <t>Interviews</t>
  </si>
  <si>
    <t>Observational</t>
  </si>
  <si>
    <t>analytical</t>
  </si>
  <si>
    <t>Yoo, EH; Roberts, JE; Eum, Y; Li, XJ; Konty, K</t>
  </si>
  <si>
    <t>Yoo, Eun-Hye; Roberts, John E.; Eum, Youngseob; Li, Xiaojiang; Konty, Kevin</t>
  </si>
  <si>
    <t>Exposure to urban green space may both promote and harm mental health in socially vulnerable neighborhoods: A neighborhood-scale analysis in New York City</t>
  </si>
  <si>
    <t>Mental disorders; Urban green space; Emergency room (ER) visits; Social vulnerability; Bayesian hierarchical spatial model</t>
  </si>
  <si>
    <t>NATURAL OUTDOOR ENVIRONMENTS; EMERGENCY-DEPARTMENT VISITS; TRAFFIC NOISE; SUBSTANCE USE; BLUE SPACES; STREET VIEW; DISEASE; DEPRESSION; ASSOCIATIONS; PATHWAYS</t>
  </si>
  <si>
    <t>Background: There is growing evidence that exposure to green space can impact mental health, but these effects may be context dependent. We hypothesized that associations between residential green space and mental health can be modified by social vulnerability. Method: We conducted an ecological cross-sectional analysis to evaluate the effects of green space exposure on mental disorder related emergency room (ER) visits in New York City at the level of census tract. To objectively represent green space exposure at the neighborhood scale, we calculated three green space exposure metrics, namely proximity to the nearest park, percentage of green space, and visibility of greenness. Using Bayesian hierarchical spatial Poisson regression models, we evaluated neighborhood social vulnerability as a potential modifier of greenness-mental disorder associations, while accounting for the spatially correlated structures. Results: We found significant associations between green space exposure (involving both proximity and visibility) and total ER visits for mental disorders in neighborhoods with high social vulnerability, but no significant associations in neighborhoods with low social vulnerability. We also identified specific neighborhoods with particularly high ER utilization for mental disorders. Conclusions: Our findings suggest that exposure to green space is associated with ER visits for mental disorders, but that neighborhood social vulnerability can modify this association. Future research is needed to confirm our finding with longitudinal designs at the level of individuals.</t>
  </si>
  <si>
    <t>[Yoo, Eun-Hye; Eum, Youngseob] SUNY Buffalo, Dept Geog, Buffalo, NY 14260 USA; [Roberts, John E.] SUNY Buffalo, Dept Psychol, Buffalo, NY USA; [Li, Xiaojiang] Temple Univ, Dept Geog &amp; Urban Studies, Philadelphia, PA 19122 USA; [Konty, Kevin] New York City Dept Hlth &amp; Mental Hyg, Nyc, NY USA</t>
  </si>
  <si>
    <t>State University of New York (SUNY) System; State University of New York (SUNY) Buffalo; State University of New York (SUNY) System; State University of New York (SUNY) Buffalo; Pennsylvania Commonwealth System of Higher Education (PCSHE); Temple University; New York City Department of Health &amp; Mental Hygiene</t>
  </si>
  <si>
    <t>Yoo, EH (corresponding author), SUNY Buffalo, Dept Geog, Buffalo, NY 14260 USA.</t>
  </si>
  <si>
    <t>eunhye@buffalo.edu</t>
  </si>
  <si>
    <t>Eum, Youngseob/0000-0002-3791-8953</t>
  </si>
  <si>
    <t>C</t>
  </si>
  <si>
    <t>10.1016/j.envres.2021.112292</t>
  </si>
  <si>
    <t>XP3QV</t>
  </si>
  <si>
    <t>WOS:000730784100009</t>
  </si>
  <si>
    <t>Proximity to green space and prevalence of mental disorder related hospital treatments, new york</t>
  </si>
  <si>
    <t>Mental health disorders and association with green space</t>
  </si>
  <si>
    <t>USA (Newyork)</t>
  </si>
  <si>
    <t>Zhang, J; Yang, Z; Chen, Z; Guo, MY; Guo, P</t>
  </si>
  <si>
    <t>Zhang, Jie; Yang, Zhi; Chen, Zhuo; Guo, Mengyuan; Guo, Peng</t>
  </si>
  <si>
    <t>Optimizing Urban Forest Landscape for Better Perceptions of Positive Emotions</t>
  </si>
  <si>
    <t>urban green space; urban blue space; emotional expression; forest bathing; nature-based solution</t>
  </si>
  <si>
    <t>GENDER-DIFFERENCES; SEX-DIFFERENCES; GREEN SPACES; HEALTH; TREES</t>
  </si>
  <si>
    <t>Interacting with urban spaces that are green and blue is believed to promote mental well-being and positive emotions. Therefore, there is an incentive to strategically design urban forest landscapes in a given space to evoke more positive emotion. In this study, we conducted a pilot study in Northeast China with 24 parks from 11 cities across 3 provinces. The subjects of the study are the visitors and a total of 1145 photos and selfies were collected from open micro-twitters in Sino Weibo (~50 individuals per park). Facial expressions of happy and sad emotions were recognized and rated as percent scores by FireFACE v1.0. Demographically, male adolescents smiled more than male visitors in other age groups and female teens. Females expressed more positive emotions than males according to their positive response index (PRI; happy-sad). Multivariate linear regression indicated positive contribution of green space to happy scores (estimate of 0.0040) and a stronger negative contribution of blue area to sad scores (estimate of -0.1392). Therefore, an urban forest landscape can be optimized by mapping green- and blue-spaces to predict spatial distributions of positive emotions. Male teens are recommended more as frequent visitors than people in other age ranges.</t>
  </si>
  <si>
    <t>[Zhang, Jie; Yang, Zhi; Chen, Zhuo; Guo, Mengyuan] Beihua Univ, Forestry Coll, Jilin 132013, Jilin, Peoples R China; [Guo, Peng] Dalian Nationalities Univ, Environm &amp; Resources Coll, Dalian 116600, Peoples R China</t>
  </si>
  <si>
    <t>Beihua University; Dalian Minzu University</t>
  </si>
  <si>
    <t>Yang, Z (corresponding author), Beihua Univ, Forestry Coll, Jilin 132013, Jilin, Peoples R China.;Guo, P (corresponding author), Dalian Nationalities Univ, Environm &amp; Resources Coll, Dalian 116600, Peoples R China.</t>
  </si>
  <si>
    <t>chongzhi20@sina.com; reallycoolyz@sohu.com; CZ160912@163.com; guomengni_9772@sina.cn; gp@dlnu.edu.cn</t>
  </si>
  <si>
    <t>Zhang, Jie/0000-0001-6365-6742</t>
  </si>
  <si>
    <t>10.3390/f12121691</t>
  </si>
  <si>
    <t>XZ3II</t>
  </si>
  <si>
    <t>WOS:000737548900001</t>
  </si>
  <si>
    <t>Interaction between urban blue-green spaces and emotions</t>
  </si>
  <si>
    <t>Facial expression analysis</t>
  </si>
  <si>
    <t>Li, JY; Nassauer, JI</t>
  </si>
  <si>
    <t>Li, Jiayang; Nassauer, Joan Iverson</t>
  </si>
  <si>
    <t>Technology in support of nature-based solutions requires understanding everyday experiences</t>
  </si>
  <si>
    <t>ECOLOGY AND SOCIETY</t>
  </si>
  <si>
    <t>aesthetics; cultural ecosystem services; green infrastructure; landscape design; urban greenspace</t>
  </si>
  <si>
    <t>CULTURAL ECOSYSTEM SERVICES; GREEN INFRASTRUCTURE; HUMAN HEALTH; BLUE SPACE; URBAN; AESTHETICS; FRAMEWORK; IMPACT; WATER; OPPORTUNITIES</t>
  </si>
  <si>
    <t>Nature-based solutions that incorporate smart technologies to enhance ecosystem services delivery may change the way people experience urban nature in their everyday lives. We lay out a conceptual basis for considering such changes and their social impacts. Cities are increasingly recognized as complex social-ecological-technological systems in which sustainability and climate resilience require environmental function to be paired with innovative technology. Smart technologies for real-time monitoring and autonomous operation promise innovations in urban landscape management. However, this promise can be fully realized only with adequate consideration of social impacts. Drawing on literature in landscape studies, environmental psychology, behavioral economics, public health, and aesthetics, we initiate a discussion connecting everyday experiences of urban nature with the social impacts of smart nature-based solutions and with local communities' support for their implementation. We describe what makes pleasant everyday experiences of urban nature and their related well-being benefits and social and cultural values, and we elucidate how these experiences depend on perceivable landscape characteristics that are only sometimes directly linked to environmental functions. Then, based on this literature, we speculate about how adopting smart technologies to manage nature-based solutions may noticeably change the landscape in novel ways and have unintended negative impacts on everyday experiences of urban nature. We illustrate this with an example: smart stormwater management of retention ponds. We conclude that the risk of degraded everyday experiences of nature must be considered and addressed in the development of smart nature-based solutions. If pleasant everyday experiences are ensured through appropriate design, smart nature-based solutions may not only realize societal co-benefits, but also gain acceptance and continued support from the public for the whole set of ecosystem services they deliver.</t>
  </si>
  <si>
    <t>[Li, Jiayang; Nassauer, Joan Iverson] Univ Michigan, Sch Environm &amp; Sustainabil, Ann Arbor, MI 48109 USA</t>
  </si>
  <si>
    <t>University of Michigan System; University of Michigan</t>
  </si>
  <si>
    <t>Li, JY (corresponding author), Univ Michigan, Sch Environm &amp; Sustainabil, Ann Arbor, MI 48109 USA.</t>
  </si>
  <si>
    <t>U.S. National Science Foundation [SCC-IRF 1737432]</t>
  </si>
  <si>
    <t>U.S. National Science Foundation(National Science Foundation (NSF))</t>
  </si>
  <si>
    <t>We gratefully acknowledge support from the U.S. National Science Foundation for this work: SCC-IRF 1737432, Overcoming Social and Technical Barriers for the Broad Adoption of Smart Stormwater Systems.</t>
  </si>
  <si>
    <t>RESILIENCE ALLIANCE</t>
  </si>
  <si>
    <t>WOLFVILLE</t>
  </si>
  <si>
    <t>ACADIA UNIV, BIOLOGY DEPT, WOLFVILLE, NS B0P 1X0, CANADA</t>
  </si>
  <si>
    <t>1708-3087</t>
  </si>
  <si>
    <t>ECOL SOC</t>
  </si>
  <si>
    <t>Ecol. Soc.</t>
  </si>
  <si>
    <t>10.5751/ES-12838-260435</t>
  </si>
  <si>
    <t>Ecology; Environmental Studies</t>
  </si>
  <si>
    <t>XP4IU</t>
  </si>
  <si>
    <t>WOS:000730831300008</t>
  </si>
  <si>
    <t>How everyday urban experiences can support health and well-being of residents</t>
  </si>
  <si>
    <t>review</t>
  </si>
  <si>
    <t>Wang, RY; Feng, ZQ; Pearce, J; Zhou, SH; Zhang, L; Liu, Y</t>
  </si>
  <si>
    <t>Wang, Ruoyu; Feng, Zhiqiang; Pearce, Jamie; Zhou, Suhong; Zhang, Lin; Liu, Ye</t>
  </si>
  <si>
    <t>Dynamic greenspace exposure and residents' mental health in Guangzhou, China: From over-head to eye-level perspective, from quantity to quality</t>
  </si>
  <si>
    <t>Eye-level greenspace; Greenspace quality; Mental health; Activity places; Mobility path</t>
  </si>
  <si>
    <t>NATURAL OUTDOOR ENVIRONMENTS; BLUE SPACES; PHYSICAL-ACTIVITY; STREET VIEW; LIFE-COURSE; LAND-USE; URBAN; PATHWAYS; COVER; ASSOCIATIONS</t>
  </si>
  <si>
    <t>Natural environments especially greenspace may play an important role in enhancing people's mental health. However, the existing literature mainly assesses greenspace exposure in people's residential neighbourhood ignoring the dynamic nature of daily movements and residential histories. Also, most research assesses greenspace from an 'over-head' perspective whereas an 'eye-level' perspective may better capture people's experiences of greenspace, including its quality. We examine the importance of capturing people's eye-level greenspace exposure across different places people occupy in their everyday lives. We construct four measures of greenspace capturing overhead (NDVI), eye-level quantity and quality (Street View Greenness (SVG)) and self-reported neighbourhood greenness exposure. First, we assessed greenspace exposure in residential neighbourhoods, workplaces, recreational places, mobility path and previous residential neighbourhood. The four greenspace indicators were not associated with each other, suggesting they capture different aspects of greenspace. Second, we examine the associations between dynamic greenspace exposure and residents' mental health using survey data collected from 26 neighbourhoods of Guangzhou, China. The results show that all measures in residential places are associated with mental health. However, only SVG-quality in recreational places is positively associated with mental health, while both SVG-quantity and SVG-quality in participant's mobility path are associated with mental health. Our findings demonstrate eye-level greenspace quality is more important in relation to mental health. Policymakers and planners should focus not only on residential neighbourhoods, but also consider the wider environments that people encounter in their everyday lives.</t>
  </si>
  <si>
    <t>[Wang, Ruoyu; Feng, Zhiqiang; Pearce, Jamie] Univ Edinburgh, Inst Geog, Sch GeoSci, Edinburgh, Midlothian, Scotland; [Zhou, Suhong; Liu, Ye] Sun Yat Sen Univ, Sch Geog &amp; Planning, Guangzhou, Peoples R China; [Zhou, Suhong; Liu, Ye] Sun Yat Sen Univ, Guangdong Key Lab Urbanizat &amp; Geosimulat, Xingang Xi Rd, Guangzhou, Peoples R China; [Zhou, Suhong] Guangdong Prov Engn Res Ctr Publ Secur &amp; Disaster, Guangzhou, Peoples R China; [Zhang, Lin] Guangdong Univ Foreign Studies, Inst Studies Great Bay Area, Guangzhou 510006, Peoples R China</t>
  </si>
  <si>
    <t>University of Edinburgh; Sun Yat Sen University; Sun Yat Sen University; Guangdong University of Foreign Studies</t>
  </si>
  <si>
    <t>Wang, RY (corresponding author), Univ Edinburgh, Inst Geog, Sch GeoSci, Edinburgh, Midlothian, Scotland.</t>
  </si>
  <si>
    <t>r.wang-54@sms.ed.ac.uk; zhiqiang.feng@ed.ac.uk; jamie.pearce@ed.ac.uk; eeszsh@mail.sysu.edu.cn; linzhang3166@163.com; liuye25@mail.sysu.edu.cn</t>
  </si>
  <si>
    <t>Wang, Ruoyu/S-3360-2019; Liu, Ye/J-2787-2019</t>
  </si>
  <si>
    <t>Wang, Ruoyu/0000-0002-7240-558X; Liu, Ye/0000-0003-2511-5413</t>
  </si>
  <si>
    <t>Elizabeth Sinclair Irvine Bequest and Centenary Agroforestry 89 Fund; Fundamental Research Funds for the Central Universities [20lgzd10]</t>
  </si>
  <si>
    <t>Elizabeth Sinclair Irvine Bequest and Centenary Agroforestry 89 Fund; Fundamental Research Funds for the Central Universities(Fundamental Research Funds for the Central Universities)</t>
  </si>
  <si>
    <t>This work was supported by the Elizabeth Sinclair Irvine Bequest and Centenary Agroforestry 89 Fund and the Fundamental Research Funds for the Central Universities (20lgzd10).</t>
  </si>
  <si>
    <t>10.1016/j.landurbplan.2021.104230</t>
  </si>
  <si>
    <t>UR3IU</t>
  </si>
  <si>
    <t>WOS:000696646500003</t>
  </si>
  <si>
    <t>How different perspectives of green space impact mental health</t>
  </si>
  <si>
    <t>Surveys (self-reported) WHO-5</t>
  </si>
  <si>
    <t>Ghosh, P; Singh, KK</t>
  </si>
  <si>
    <t>Ghosh, Pritha; Singh, Kiran Kumari</t>
  </si>
  <si>
    <t>Spatiotemporal dynamics of urban green and blue spaces using geospatial techniques in Chandannagar city, India</t>
  </si>
  <si>
    <t>GEOJOURNAL</t>
  </si>
  <si>
    <t>Urban green space (UGS); Urban blue space; Urban sustainability; Chandannagar; India</t>
  </si>
  <si>
    <t>SMALL CITIES; HEALTH; ADAPTATION; LANDSCAPE; EXPOSURE; BENEFITS; DENSITY; ECOLOGY; QUALITY; GROWTH</t>
  </si>
  <si>
    <t>Green and blue spaces are important landscape elements in a city and there is strong literary evidence available regarding the ecological, social, cultural and recreational benefits of these spaces to people and urban sustainability. Comprehensive quantitative assessment of these spaces is gaining scientific recognition for their utility in sustainable urban planning and drafting greening policies. This study analyzed the spatiotemporal change in urban green and blue spaces in Chandannagar city, India through quantitative assessment for the years 1991, 2001, 2011, and 2020 using Landsat data of 30 m spatial resolution. Normalized Difference Vegetation Index and Normalised Difference Water Index was applied to extract information on urban green and blue spaces. The classified maps were validated through field observations and Google earth images. Spatio-temporal analysis was carried out at ward level to analyze the distribution of urban green spaces (UGS) at the micro level. The result indicated that there was a reduction in green and blue spaces in the central and eastern parts of the city while there was a good amount of UGS in the western part of the city. The findings of this study shed light on important policy implications for the UGS planning in the city.</t>
  </si>
  <si>
    <t>[Ghosh, Pritha; Singh, Kiran Kumari] Cent Univ Punjab, Dept Geog, Bathinda, India</t>
  </si>
  <si>
    <t>Central University of Punjab</t>
  </si>
  <si>
    <t>Singh, KK (corresponding author), Cent Univ Punjab, Dept Geog, Bathinda, India.</t>
  </si>
  <si>
    <t>pritha.jamna@gmail.com; kiran.singhgeo@gmail.com</t>
  </si>
  <si>
    <t>Kumari Singh, Kiran/0000-0002-2233-180X</t>
  </si>
  <si>
    <t>0343-2521</t>
  </si>
  <si>
    <t>1572-9893</t>
  </si>
  <si>
    <t>GeoJournal</t>
  </si>
  <si>
    <t>10.1007/s10708-021-10524-0</t>
  </si>
  <si>
    <t>OCT 2021</t>
  </si>
  <si>
    <t>5Z2SK</t>
  </si>
  <si>
    <t>WOS:000706586400001</t>
  </si>
  <si>
    <t>Spatial distribution of UGS</t>
  </si>
  <si>
    <t>Engemann, K; Svenning, JC; Arge, L; Brandt, J; Bruun, MT; Didriksen, M; Erikstrup, C; Geels, C; Hertel, O; Horsdal, HT; Kaspersen, KA; Mikkelsen, S; Mortensen, PB; Nielsen, KR; Ostrowski, SR; Pedersen, OB; Tsirogiannis, C; Sabel, CE; Sigsgaard, T; Ullum, H; Pedersen, CB</t>
  </si>
  <si>
    <t>Engemann, Kristine; Svenning, Jens -Christian; Arge, Lars; Brandt, Jorgen; Bruun, Mie T.; Didriksen, Maria; Erikstrup, Christian; Geels, Camilla; Hertel, Ole; Horsdal, Henriette Thisted; Kaspersen, Kathrine A.; Mikkelsen, Susan; Mortensen, Preben Bo; Nielsen, Kaspar R.; Ostrowski, Sisse R.; Pedersen, Ole B.; Tsirogiannis, Constantios; Sabel, Clive E.; Sigsgaard, Torben; Ullum, Henrik; Pedersen, Carsten Bocker</t>
  </si>
  <si>
    <t>A life course approach to understanding associations between natural environments and mental well-being for the Danish blood donor cohort</t>
  </si>
  <si>
    <t>Life satisfaction; Landscape; Mental health; Nature; Remote sensing</t>
  </si>
  <si>
    <t>URBAN-RURAL DIFFERENCES; PHYSICAL-ACTIVITY; DEPRESSIVE-DISORDERS; GREEN SPACES; HEALTH; BENEFITS; EXPOSURE; ANXIETY; RESTORATION; INCREASE</t>
  </si>
  <si>
    <t>Natural environments have been associated with mental health benefits, but globally access to these benefits is threatened by urban development and densification. However, it remains unclear how natural environments relate to mental health and how consistent the association is across populations. Here we use a life-course approach with a population consisting of 66 194 individuals from the Danish Blood Donor Study (DBDS) to investigate the association between green and blue space (e.g. parks and lakes) and self-evaluated mental well-being. Green and blue space was identified from remotely-sensed images from the Landsat program, while mental well-being was based on the mental component score (MCS) calculated using the 12-item short form health survey. We use multivariate linear regression models and logistic regression models to quantify the as-sociations. We adjust for additional environmental (urbanization, and air pollution) and lifestyle factors (smoking, body mass index, socioeconomic status, and physical activity) and specifically evaluate the role of physical activity and air pollution as possible mediating factors. We found a positive association between the MCS and current and childhood green space, and a non-significant association for current and childhood blue space. Adjusting for environmental and the other factors attenuated the effect sizes indicating that a broad range of factors determine mental well-being. Physical activity and air pollution were both associated with the MCS as possible mediators of green space associations. In addition, the odds for successfully completing tasks', seeing others, and feeling less downhearted increased with higher levels of green space, and the odds of feeling calm increased with higher levels of blue space. In conclusion, we found support for an association between green and, to less degree, blue space and mental well-being throughout different life stages. In addition, we found a positive association with individual indicators of mental well-being such as being productive, feeling less downhearted and calmer, and being social. The healthy blood donor effect and the bias towards urban residency may explain why we found smaller effect sizes between green and blue space and mental well-being for this generally healthy and resourceful cohort compared to previous studies.</t>
  </si>
  <si>
    <t>[Engemann, Kristine; Svenning, Jens -Christian] Aarhus Univ, Dept Biol, Sect Ecoinformat &amp; Biodivers, DK-8000 Aarhus, Denmark; [Engemann, Kristine; Svenning, Jens -Christian] Ctr Biodivers Dynam Changing World BIOCHANGE, Dept Biol, DK-8000 Aarhus, Denmark; [Engemann, Kristine; Pedersen, Carsten Bocker] Aarhus Univ, Ctr Integrated Registerbased Res CIRRAU, DK-8210 Aarhus, Denmark; [Engemann, Kristine; Erikstrup, Christian; Hertel, Ole; Horsdal, Henriette Thisted; Kaspersen, Kathrine A.; Sabel, Clive E.; Sigsgaard, Torben; Pedersen, Carsten Bocker] Aarhus Univ, Big Data Ctr Environm &amp; Hlth BERTHA, DK-4000 Roskilde, Denmark; [Arge, Lars; Tsirogiannis, Constantios] Aarhus Univ, Ctr Mass Data Algorithm MADALGO, Dept Comp Sci, DK-8200 Aarhus, Denmark; [Brandt, Jorgen; Sabel, Clive E.] Aarhus Univ, Dept Biosci, DK-4000 Roskilde, Denmark; [Brandt, Jorgen] Aarhus Univ, Interdisciplinary Ctr Climate Change, IClimate, DK-4000 Roskilde, Denmark; [Bruun, Mie T.] Odense Univ Hosp, Dept Clin Immunol, Odense, Denmark; [Didriksen, Maria; Ostrowski, Sisse R.; Ullum, Henrik] Copenhagen Univ Hosp, Dept Clin Immunol, Copenhagen, Denmark; [Erikstrup, Christian; Kaspersen, Kathrine A.; Mikkelsen, Susan] Aarhus Univ Hosp, Dept Clin Immunol, Aarhus, Denmark; [Hertel, Ole] Aarhus Univ, Dept Biosci, DK-8000 Aarhus, Denmark; [Horsdal, Henriette Thisted; Mortensen, Preben Bo; Pedersen, Carsten Bocker] Aarhus Univ, Natl Ctr Register based Res, Aarhus BSS, Dept Econ &amp; Business Econ, DK-8210 Aarhus, Denmark; [Mortensen, Preben Bo; Pedersen, Carsten Bocker] Aarhus Univ, Lundbeck Fdn Initiat Integrat Psychiat Res iPSYC, DK-8210 Aarhus, Denmark; [Nielsen, Kaspar R.] Aalborg Univ Hosp, Dept Clin Immunol, Aalborg, Denmark; [Pedersen, Ole B.] Zealand Univ Hosp, Dept Clin Immunol, Koge, Denmark; [Sigsgaard, Torben] Aarhus Univ, Dept Publ Hlth, Aarhus, Denmark</t>
  </si>
  <si>
    <t>Aarhus University; Aarhus University; Aarhus University; Aarhus University; Aarhus University; Aarhus University; University of Southern Denmark; Odense University Hospital; University of Copenhagen; Aarhus University; Aarhus University; Aarhus University; Aarhus University; Aalborg University; Aalborg University Hospital; Aarhus University</t>
  </si>
  <si>
    <t>Engemann, K (corresponding author), Aarhus Univ, Dept Biol, Sect Ecoinformat &amp; Biodivers, DK-8000 Aarhus, Denmark.;Engemann, K (corresponding author), Ctr Biodivers Dynam Changing World BIOCHANGE, Dept Biol, DK-8000 Aarhus, Denmark.;Engemann, K (corresponding author), Aarhus Univ, Ctr Integrated Registerbased Res CIRRAU, DK-8210 Aarhus, Denmark.;Engemann, K (corresponding author), Aarhus Univ, Big Data Ctr Environm &amp; Hlth BERTHA, DK-4000 Roskilde, Denmark.</t>
  </si>
  <si>
    <t>engemann@bio.au.dk; svenning@bio.au.dk; large@cs.au.dk; jbr@envs.au.dk; Mie.Topholm.Bruun@rsyd.dk; maria.didriksen@regionh.dk; christian.erikstrup@skejby.rm.dk; cag@envs.au.dk; oh@bios.au.dk; horsdal@econ.au.dk; kathkasp@rm.dk; susanmke@rm.dk; pbm@econ.au.dk; k.nielsen@rn.dk; Sisse.Rye.Ostrowski@regionh.dk; olbp@regionsjaelland.dk; tsirogiannis.c@gmail.com; cs@envs.au.dk; ts@ph.au.dk; Henrik.Ullum@regionh.dk; cbp@econ.au.dk</t>
  </si>
  <si>
    <t>Ostrowski, Sisse Rye/E-7423-2011; Raaschou-Nielsen, Ole/GOK-0338-2022; Pedersen, Ole Birger/W-8679-2019; Pedersen, Carsten Bøcker/B-8441-2013; Sabel, Clive E/A-5541-2012; Brandt, Jørgen/B-3733-2011; Svenning, Jens-Christian/C-8977-2012; Geels, Camilla/G-4757-2013; Hertel, Ole/L-4346-2013</t>
  </si>
  <si>
    <t>Ostrowski, Sisse Rye/0000-0001-5288-3851; Raaschou-Nielsen, Ole/0000-0002-1223-0909; Pedersen, Ole Birger/0000-0003-2312-5976; Pedersen, Carsten Bøcker/0000-0003-2077-8533; Brandt, Jørgen/0000-0002-7580-9547; Svenning, Jens-Christian/0000-0002-3415-0862; Geels, Camilla/0000-0003-2549-1750; Kaspersen, Kathrine Agergard/0000-0002-7973-3623; Mikkelsen, Susan/0000-0001-7806-1143; Engemann, Kristine/0000-0003-1431-1726; Sigsgaard, Torben/0000-0002-2043-7571; Sabel, Clive/0000-0001-9180-4861; Hertel, Ole/0000-0003-0972-7735; Erikstrup, Christian/0000-0001-6551-6647; Horsdal, Henriette Thisted/0000-0003-1519-8091; Ullum, Henrik/0000-0001-7306-9058</t>
  </si>
  <si>
    <t>Lundbeck Foundation Denmark [R102-A9118, R155-2014-1724]; Stanley Medical Research Institute; BERTHA - the Danish Big Data Center for Environment and Health - Novo Nordisk Foundation Challenge Programme [NNF17OC0027864]; NordForsk project NordicWelfAir [75007]; VILLUM FONDEN [16549]; Copenhagen University Hospital Research Fund</t>
  </si>
  <si>
    <t>Lundbeck Foundation Denmark(Lundbeckfonden); Stanley Medical Research Institute; BERTHA - the Danish Big Data Center for Environment and Health - Novo Nordisk Foundation Challenge Programme; NordForsk project NordicWelfAir; VILLUM FONDEN(Villum Fonden); Copenhagen University Hospital Research Fund</t>
  </si>
  <si>
    <t>This study was supported by The Lundbeck Foundation Denmark (grant no R102-A9118 and R155-2014-1724), the Stanley Medical Research Institute, and BERTHA -the Danish Big Data Center for Environment and Health funded by the Novo Nordisk Foundation Challenge Programme (grant NNF17OC0027864). Part of the work was funded by the NordForsk project NordicWelfAir (Project #75007: Understanding the link between Air pollution and Distribution of related Health Impacts and Welfare in the Nordic countries). JCS considers this work a contribution to his VILLUM Investigator project Biodiversity Dynamics in a Changing World funded by VILLUM FONDEN (grant 16549). The work was also supported by the Copenhagen University Hospital Research Fund.</t>
  </si>
  <si>
    <t>10.1016/j.healthplace.2021.102678</t>
  </si>
  <si>
    <t>WA7GI</t>
  </si>
  <si>
    <t>WOS:000703052800002</t>
  </si>
  <si>
    <t>Association of mental health and green/blue space</t>
  </si>
  <si>
    <t xml:space="preserve">Landsat </t>
  </si>
  <si>
    <t>Survey (mental component score)</t>
  </si>
  <si>
    <t>Longitudinal cohort</t>
  </si>
  <si>
    <t>Denmark</t>
  </si>
  <si>
    <t>McDougall, CW; Hanley, N; Quilliam, RS; Bartie, PJ; Robertson, T; Griffiths, M; Oliver, DM</t>
  </si>
  <si>
    <t>McDougall, Craig W.; Hanley, Nick; Quilliam, Richard S.; Bartie, Phil J.; Robertson, Tony; Griffiths, Michael; Oliver, David M.</t>
  </si>
  <si>
    <t>Neighbourhood blue space and mental health: A nationwide ecological study of antidepressant medication prescribed to older adults</t>
  </si>
  <si>
    <t>Freshwater; Coastal; Green space; Urban planning; Depression; Healthy ageing</t>
  </si>
  <si>
    <t>LATE-LIFE DEPRESSION; LONG-TERM EXPOSURE; URBAN GREEN SPACE; PRESCRIPTION RATES; RESIDENTIAL GREEN; PHYSICAL-ACTIVITY; ENVIRONMENT; DISORDERS; BENEFITS; ASSOCIATION</t>
  </si>
  <si>
    <t>As global populations age rapidly, older adult mental health is becoming an increasingly important public health issue. The consequences of poor mental health in later life are severe and include reduced physical and cognitive functioning and greater risk of morbidity and mortality. Neighbourhood characteristics, such as the presence of aquatic environments - or 'blue spaces' - can positively impact mental health. However, evidence supporting the potential of neighbourhood blue space to promote mental health among older adults remains tentative. This study used negative binomial regression modelling to quantify the association between multiple metrics of neighbourhood blue space availability and antidepressant medication prevalence among older adults in Scotland. The study combined nationwide antidepressant prescription data for over two million older adults and geospatial data of blue space availability for over six thousand neighbourhoods and adjusted for a range of demographic and socioeconomic covariates. The availability of both freshwater and coastal blue space was associated with lower antidepressant medication prevalence among older adults in Scotland. Specifically, high neighbourhood freshwater coverage ( 3%) (p &lt; 0.001) and residing in close proximity (&lt;1 km) to the coast (p &lt; 0.001) and large freshwater lakes (p &lt; 0.05) was associated with lower antidepressant medication prevalence. Our findings also suggest that neighbourhood blue space availability may have a greater impact on antidepressant medication prevalence among older adults than neighbourhood green space availability. Freshwater and coastal blue space, therefore, merit greater consideration in public health and urban planning policy and in the design of environments that aim to promote mental health and healthy aging.</t>
  </si>
  <si>
    <t>[McDougall, Craig W.; Quilliam, Richard S.; Robertson, Tony; Oliver, David M.] Univ Stirling, Biol &amp; Environm Sci, Fac Nat Sci, Stirling, Scotland; [Hanley, Nick] Univ Glasgow, Inst Biodivers Anim Hlth &amp; Comparat Med, Glasgow, Lanark, Scotland; [Bartie, Phil J.] Herriot Watt Univ, Sch Math &amp; Comp Sci, Edinburgh, Midlothian, Scotland; [Griffiths, Michael] NHS Scotland, Primary Care, NHS Forth Valley, Edinburgh, Midlothian, Scotland</t>
  </si>
  <si>
    <t>University of Stirling; University of Glasgow; Heriot Watt University; NHS National Services Scotland</t>
  </si>
  <si>
    <t>McDougall, CW (corresponding author), 81 Cooperage Quay, Stirling FK8 1JH, Scotland.</t>
  </si>
  <si>
    <t>Oliver, David M/B-8230-2011; Quilliam, Richard S/E-6920-2011; Robertson, Tony/L-5062-2015; Hanley, Nick/C-1759-2012</t>
  </si>
  <si>
    <t>Quilliam, Richard S/0000-0001-7020-4410; Robertson, Tony/0000-0002-1962-5874; McDougall, Craig/0000-0003-1546-4142; Oliver, David/0000-0002-6200-562X</t>
  </si>
  <si>
    <t>Scottish Government Hydro Nation Scholars Programme</t>
  </si>
  <si>
    <t>The Scottish Government Hydro Nation Scholars Programme pro-vided funding to support this research. We would like to thank Dr Karen Gronkowski and Public Health Scotland for providing the data for this study and John Paterson and Anthony Higney from the University of Stirling for their advice on statistical analysis. We would also like to thank the three anonymous reviewers of this manuscript for their detailed and constructive comments.</t>
  </si>
  <si>
    <t>10.1016/j.landurbplan.2021.104132</t>
  </si>
  <si>
    <t>TU5YM</t>
  </si>
  <si>
    <t>WOS:000681111700001</t>
  </si>
  <si>
    <t>Blue space availability and prescribed anti-depressants</t>
  </si>
  <si>
    <t>Blue space proximity and prescribed medication for mental health</t>
  </si>
  <si>
    <t>Zaldo-Aubanell, Q; Serra, I; Bach, A; Knobel, P; Lopez, FCI; Belmonte, J; Daunis-I-Estadella, P; Maneja, R</t>
  </si>
  <si>
    <t>Zaldo-Aubanell, Quim; Serra, Isabel; Bach, Albert; Knobel, Pablo; i Lopez, Ferran Campillo; Belmonte, Jordina; Daunis-I-Estadella, Pepus; Maneja, Roser</t>
  </si>
  <si>
    <t>Environmental heterogeneity in human health studies. A compositional methodology for Land Use and Land cover data</t>
  </si>
  <si>
    <t>Land use and Land cover; Environmental heterogeneity; Compositional analysis; Type 2 diabetes mellitus; Asthma; Anxiety</t>
  </si>
  <si>
    <t>OUTDOOR AIR-POLLUTION; URBAN GREEN SPACE; PHYSICAL-ACTIVITY; SOCIOECONOMIC-STATUS; NEIGHBORHOOD WALKABILITY; BUILT ENVIRONMENTS; POLLEN ALLERGY; BLUE SPACE; EXPOSURE; ASTHMA</t>
  </si>
  <si>
    <t>The use of Land use and Land cover (LULC) data is gradually becoming more widely spread in studies relating the environment to human health. However, little research has acknowledged the compositional nature of these data. The goal of the present study is to explore, for the first time, the independent effect of eight LULC categories (agricultural land, bare land, coniferous forest, broad-leaved forest, sclerophyll forest, grassland and shrubs, urban areas, and waterbodies) on three selected common health conditions: type 2 diabetes mellitus (T2DM), asthma and anxiety, using a compositional methodological approach and leveraging observational health data of Catalonia (Spain) at area level. We fixed the risk exposure scenario using three covariates (socioeconomic status, age group, and sex). Then, we assessed the independent effect of the eight LULC categories on each health condition. Our results show that each LULC category has a distinctive effect on the three health conditions and that the three covariates clearly modify this effect. This compositional approach has yielded plausible results supported by the existing literature, highlighting the relevance of environmental heterogeneity in health studies. In this sense, we argue that different types of envi-ronment possess exclusive biotic and abiotic elements affecting distinctively on human health. We believe our contribution might help researchers approach the environment in a more multidimensional man-ner integrating environmental heterogeneity in the analysis. (c) 2021 The Authors. Published by Elsevier B.V. This is an open access article under the CC BY-NC-ND license (http://creativecommons.org/licenses/by-nc-nd/4.0/).</t>
  </si>
  <si>
    <t>[Zaldo-Aubanell, Quim] Autonomous Univ Barcelona UAB, Inst Environm Sci &amp; Technol ICTA, ICTA ICP, Z Bldg,Carrer Columnes,UAB Campus, Barcelona 08193, Spain; [Zaldo-Aubanell, Quim; Bach, Albert; Knobel, Pablo; i Lopez, Ferran Campillo; Belmonte, Jordina; Maneja, Roser] Forest Sci &amp; Technol Ctr Catalonia, Environm &amp; Human Hlth Lab EH2 Lab, Ctra St Llorenc de Morunys,Km 2, Solsona 25280, Spain; [Serra, Isabel] Ctr Recerca Matemat, Edifici C, Barcelona 08193, Spain; [Serra, Isabel] Barcelona Supercomp Ctr, Barcelona 08034, Spain; [i Lopez, Ferran Campillo] Olot &amp; Garroma Reg Hosp Fdn, Paediat Team Garrotxa Reg, Paediat Environm Hlth Specialty Unit, Avinguda Paisos Catalans 86, Olot 17800, Catalonia, Spain; [Belmonte, Jordina] Autonomous Univ Barcelona UAB, Dept Anim Biol Plant Biol &amp; Ecol, C Bldg,UAB Campus, Barcelona 08193, Spain; [Daunis-I-Estadella, Pepus] Univ Girona, Dept Comp Sci Appl Math &amp; Stat, Carrer Univ Girona 6, Girona 17003, Spain; [Bach, Albert; Maneja, Roser] Forest Sci &amp; Technol Ctr Catalonia, Ctra St Llorenc de Morunys,Km 2, Solsona 25280, Spain; [Maneja, Roser] Autonomous Univ Barcelona UAB, Geog Dept, B Bldg,UAB Campus, Barcelona 08193, Spain</t>
  </si>
  <si>
    <t>Autonomous University of Barcelona; Centre de Recerca Matematica (CRM); Universitat Politecnica de Catalunya; Barcelona Supercomputer Center (BSC-CNS); Autonomous University of Barcelona; Universitat de Girona; Autonomous University of Barcelona</t>
  </si>
  <si>
    <t>Zaldo-Aubanell, Q (corresponding author), Forest Sci &amp; Technol Ctr Catalonia, Environm &amp; Human Hlth Lab EH2 Lab, Ctra St Llorenc de Morunys,Km 2, Solsona 25280, Spain.</t>
  </si>
  <si>
    <t>quim.zaldo@uab.cat</t>
  </si>
  <si>
    <t>Zaldo-Aubanell, Quim/GLT-7780-2022; Serra, Isabel/AAE-1146-2022; Serra, Isabel/AAE-1120-2022; Belmonte, Jordina/AAD-9687-2020; Daunis-i-Estadella, Pepus/B-9082-2011; Maneja-Zaragoza, Roser/AAC-1480-2021</t>
  </si>
  <si>
    <t>Zaldo-Aubanell, Quim/0000-0002-5857-4520; Serra, Isabel/0000-0002-2465-8574; Belmonte, Jordina/0000-0002-6419-9595; Daunis-i-Estadella, Pepus/0000-0001-6134-9255; Bach, Albert/0000-0002-9824-9765; Campillo i Lopez, Ferran/0000-0002-0903-4499</t>
  </si>
  <si>
    <t>AGAUR FI fellowship [7720]; Spanish MINECO [FIS2015-71851-P, PGC-FIS2018-099629-B-I00]; Spanish MICINN [FIS2015-71851-P, PGC-FIS2018-099629-B-I00]; Spanish Ministry of Science, Innovation and Universities [RTI2018-096072-B-I00]; Spanish Ministry of Science and Technology [CTM2017-86565-C2-1-O]; Catalan Government AGAUR [2017SGR1692]; Ministerio de Ciencia, Innovacion y Universidades, Spain [RTI2018-095518-B-C21]</t>
  </si>
  <si>
    <t>AGAUR FI fellowship; Spanish MINECO(Spanish Government); Spanish MICINN(Spanish Government); Spanish Ministry of Science, Innovation and Universities(Spanish Government); Spanish Ministry of Science and Technology(Spanish Government); Catalan Government AGAUR(Agencia de Gestio D'Ajuts Universitaris de Recerca Agaur (AGAUR)); Ministerio de Ciencia, Innovacion y Universidades, Spain(Spanish Government)</t>
  </si>
  <si>
    <t>Quim Zaldo-Aubanell was supported by AGAUR FI fellowship (DOGC num. 7720, of 5.10.2018) . Isabel Serra acknowledges support from FIS2015-71851-P and PGC-FIS2018-099629-B-I00 from Spanish MINECO and MICINN, and was partially funded by the grant RTI2018-096072-B-I00 from the Spanish Ministry of Science, Innovation and Universities. Jordina Belmonte was supported by the Spanish Ministry of Science and Technology through the project CTM2017-86565-C2-1-O and by the Catalan Government AGAUR through 2017SGR1692. Pepus Daunis-i-Estadella acknowledges support from the project RTI2018-095518-B-C21 Methods for Compositional analysis of Data (CODAMET) , Ministerio de Ciencia, Innovacion y Universidades, Spain. The funding sources did not participate in the design or conduct of the study, the collection, management, analysis, or interpretation of the data, or the preparation, review, or approval of the manuscript.</t>
  </si>
  <si>
    <t>10.1016/j.scitotenv.2021.150308</t>
  </si>
  <si>
    <t>SEP 2021</t>
  </si>
  <si>
    <t>WK4XV</t>
  </si>
  <si>
    <t>WOS:000709731100015</t>
  </si>
  <si>
    <t>How land class can effect common on three selected common health conditions</t>
  </si>
  <si>
    <t>30m</t>
  </si>
  <si>
    <t>Compaing LULC with healh data</t>
  </si>
  <si>
    <t>Spain</t>
  </si>
  <si>
    <t>Dobson, J</t>
  </si>
  <si>
    <t>Dobson, Julian</t>
  </si>
  <si>
    <t>Wellbeing and blue-green space in post-pandemic cities: Drivers, debates and departures</t>
  </si>
  <si>
    <t>GEOGRAPHY COMPASS</t>
  </si>
  <si>
    <t>Covid-19; green space; health geographies; more-than-human; parks; urban blue-green space; wellbeing</t>
  </si>
  <si>
    <t>ENVIRONMENTAL JUSTICE; BUILD BACK; URBAN; HEALTH; INFRASTRUCTURE; RESILIENCE; GOVERNANCE; MANAGEMENT; LANDSCAPE; PATHWAYS</t>
  </si>
  <si>
    <t>Covid-19 has focused attention on the importance of urban green and blue spaces (such as parks and watercourses) for human wellbeing. Less attention has been devoted to how those spaces might contribute to a wider rethinking of relations between humans and the more-than-human world in post-pandemic cities. This article outlines how Covid-19 opens up a broader debate about the future of urban green spaces, especially in the global North, but highlights the limitations of this debate. It signposts emerging directions in inquiry, drawing on current concerns in health geographies and the political ecology of health. These include recognition of the agency and worth of the more-than-human world; the need to understand and value wellbeing in terms of relationships between places, nature and people; and the importance of long-term thinking in practical decision-making and planning. These shifts can be grounded in everyday practice by rethinking the role of urban blue-green space, pointing to a research agenda in which ordinary spaces and practices are understood as contributing to assemblages of wellbeing across whole urban areas, rooted in increased connection between humans and the more-than-human world.</t>
  </si>
  <si>
    <t>[Dobson, Julian] Sheffield Hallam Univ, Ctr Reg Econ &amp; Social Res, City Campus, Sheffield S1 1WB, S Yorkshire, England</t>
  </si>
  <si>
    <t>Sheffield Hallam University; University of Sheffield</t>
  </si>
  <si>
    <t>Dobson, J (corresponding author), Sheffield Hallam Univ, Ctr Reg Econ &amp; Social Res, City Campus, Sheffield S1 1WB, S Yorkshire, England.</t>
  </si>
  <si>
    <t>julian.dobson@shu.ac.uk</t>
  </si>
  <si>
    <t>Dobson, Julian/0000-0002-6164-2707</t>
  </si>
  <si>
    <t>1749-8198</t>
  </si>
  <si>
    <t>GEOGR COMPASS</t>
  </si>
  <si>
    <t>Geogr. Compass</t>
  </si>
  <si>
    <t>e12593</t>
  </si>
  <si>
    <t>10.1111/gec3.12593</t>
  </si>
  <si>
    <t>WH1ND</t>
  </si>
  <si>
    <t>WOS:000693759100001</t>
  </si>
  <si>
    <t>Health geography</t>
  </si>
  <si>
    <t>Zhang, L; Zhou, SH; Kwan, MP; Shen, MH</t>
  </si>
  <si>
    <t>Zhang, Lin; Zhou, Suhong; Kwan, Mei-Po; Shen, Minghao</t>
  </si>
  <si>
    <t>Assessing individual environmental exposure derived from the spatiotemporal behavior context and its impacts on mental health</t>
  </si>
  <si>
    <t>Individual environmental exposure; Mental health; Spatiotemporal behavior; Dynamic geographic contexts</t>
  </si>
  <si>
    <t>AIR-POLLUTION; GREEN SPACE; PHYSICAL-ACTIVITY; SOCIAL SPACE; BLUE SPACES; NEIGHBORHOOD; CITY; DEPRESSION; ADULTS; ASSOCIATION</t>
  </si>
  <si>
    <t>Research on the associations between environmental exposures and mental health has attracted considerable attention. Most studies to date have mainly estimated environmental health effects based on static geographic contexts (e.g., residential neighborhoods, administrative units), ignoring the dynamic nature of individual spatiotemporal behavior, which may lead to unreliable results. To address this limitation, this study collects survey data from 1003 adults in Guangzhou, China. Then, it delineates dynamic geographic context to capture individual daily activity and travel and assesses individual exposure to environmental factors derived from the home buffer (HB) and the time-weighted activity and travel buffer (TATB). Finally, multiple linear regression models are used in this paper to examine and compare the relationships between individual environmental exposure and mental health based on the HB and TATB. The results of this study indicate that there are great differences in individual environmental exposure levels based on the HB and TATB. The explanatory power of the environmental factors obtained from the TATB on mental health is greater than that derived from the HB. Specifically, exposures to some environmental factors (i.e., green space coverage, blue space coverage, fitness facility density, and recreational facility density) derived from the TATB have mental health-promoting effects, while exposures to the other environmental factors (i.e., public transit station density) have mental health constraining effects. These findings enrich our knowledge of spatiotemporal behavior and the effects of the dynamic contextual environment on mental health, as well as provide valuable implications for urban planning and public health service.</t>
  </si>
  <si>
    <t>[Zhang, Lin; Shen, Minghao] Guangdong Univ Foreign Studies, Inst Studies Greater Bay Area Guangdong Hong Kong, Guangzhou, Peoples R China; [Zhou, Suhong] Sun Yat Sen Univ, Sch Geog &amp; Planning, 135 Xingang West Rd, Guangzhou 510275, Peoples R China; [Zhou, Suhong] Guangdong Prov Engn Res Ctr Publ Secur &amp; Disaster, Guangzhou, Peoples R China; [Kwan, Mei-Po] Chinese Univ Hong Kong, Dept Geog &amp; Resource Management, Hong Kong, Peoples R China; [Kwan, Mei-Po] Chinese Univ Hong Kong, Inst Space &amp; Earth Informat Sci, Hong Kong, Peoples R China; [Kwan, Mei-Po] Univ Utrecht, Dept Human Geog &amp; Spatial Planning, Utrecht, Netherlands</t>
  </si>
  <si>
    <t>Guangdong University of Foreign Studies; Sun Yat Sen University; Chinese University of Hong Kong; Chinese University of Hong Kong; Utrecht University</t>
  </si>
  <si>
    <t>Zhou, SH (corresponding author), Sun Yat Sen Univ, Sch Geog &amp; Planning, 135 Xingang West Rd, Guangzhou 510275, Peoples R China.</t>
  </si>
  <si>
    <t>eeszsh@mail.sysu.edu.cn</t>
  </si>
  <si>
    <t>National Natural Science Foundation of China [41871148]; Guangdong Basic and Applied Basic Research Foundation [2020A1515110623]; Key-Area Research and Devel-opment Program of Guangdong Province [2020B0202010002]; Hong Kong Research Grants Council (RGC) [14605920, C4023-20GF]; Research Committee on Research Sustainability of Major RGC Funding Schemes of the Chinese University of Hong Kong</t>
  </si>
  <si>
    <t>National Natural Science Foundation of China(National Natural Science Foundation of China (NSFC)); Guangdong Basic and Applied Basic Research Foundation; Key-Area Research and Devel-opment Program of Guangdong Province; Hong Kong Research Grants Council (RGC)(Hong Kong Research Grants Council); Research Committee on Research Sustainability of Major RGC Funding Schemes of the Chinese University of Hong Kong</t>
  </si>
  <si>
    <t>This research was funded by the National Natural Science Founda-tion of China (41871148) , Guangdong Basic and Applied Basic Research Foundation (2020A1515110623) , and Key-Area Research and Devel-opment Program of Guangdong Province (2020B0202010002) . It was also supported by grants from the Hong Kong Research Grants Council (RGC) General Research Fund (Grant number 14605920) and Collabo-rative Research Fund (Grant number C4023-20GF) . In addition, Mei-Po Kwan was also supported by a grant from the Research Committee on Research Sustainability of Major RGC Funding Schemes of the Chinese University of Hong Kong.</t>
  </si>
  <si>
    <t>10.1016/j.healthplace.2021.102655</t>
  </si>
  <si>
    <t>UR9JA</t>
  </si>
  <si>
    <t>WOS:000697054900005</t>
  </si>
  <si>
    <t>Dynamic green space expsore and mental health</t>
  </si>
  <si>
    <t>Face-to-face surveys (WHO-5)</t>
  </si>
  <si>
    <t>van Heezik, Y; Freeman, C; Falloon, A; Buttery, Y; Heyzer, A</t>
  </si>
  <si>
    <t>van Heezik, Yolanda; Freeman, Claire; Falloon, Alice; Buttery, Yvette; Heyzer, Audrey</t>
  </si>
  <si>
    <t>Relationships between childhood experience of nature and green/blue space use, landscape preferences, connection with nature and pro-environmental behavior</t>
  </si>
  <si>
    <t>Urban Nature; Green space; Nature experience; Child; Environmental attitude</t>
  </si>
  <si>
    <t>HEALTH-BENEFITS; MENTAL-HEALTH; CONNECTEDNESS; KNOWLEDGE; EXPOSURE; STRESS</t>
  </si>
  <si>
    <t>Nature exposure during childhood is thought to foster habits and preferences leading to greater nature exposure in adult life, thus providing an indirect route to increased mental and physical well-being, and greater engagement in pro-environmental behaviors (PEB). We explored the relationships between childhood nature experience (CNE) and time spent in nature, landscape preferences, biodiversity exposure, nature connection and willingness to engage in PEB as adults, using two data sets. Adults sampled in three New Zealand cities showed no significant association between CNE and time spent by adults in public and private green and blue spaces, nor with biodiversity exposure, as those with higher CNE scores did not select more biodiverse spaces to visit as adults. There were positive but weak associations between both age and the Nature Relatedness score, and nature contact. A second survey of young adults aged mostly between 18 and 25 years found only a weak association between CNE and willingness to engage in PEB, and similarly weak positive associations with scores representing participants' awareness of the term biodiversity and strategies to improve biodiversity, the degree to which they valued biodiversity and urban green spaces, and their belief in the wellbeing benefits of nature for people. Time spent in nature during childhood was not a good predictor of time adults spent in natural spaces, landscape preferences or likelihood of PEB, suggesting that even where there is a deficit of childhood experiences adults can positively engage with nature in green and blue spaces.</t>
  </si>
  <si>
    <t>[van Heezik, Yolanda] Univ Otago, Zool Dept, POB 56, Dunedin, New Zealand; [Freeman, Claire; Falloon, Alice] Univ Otago, Geog Dept, POB 56, Dunedin, New Zealand; [Buttery, Yvette] Univ Otago, Geog Dept, Dunedin, New Zealand; [Heyzer, Audrey] Univ Otago, Zool Dept, Dunedin, New Zealand</t>
  </si>
  <si>
    <t>University of Otago; University of Otago; University of Otago; University of Otago</t>
  </si>
  <si>
    <t>van Heezik, Y (corresponding author), Univ Otago, Zool Dept, POB 56, Dunedin, New Zealand.</t>
  </si>
  <si>
    <t>Yolanda.vanheezik@otago.ac.nz; cf@geography.otago.ac.nz; Audrey.heyzer@postgrad.otago.ac.nz</t>
  </si>
  <si>
    <t>University of Otago Strategic PhD scholarship; Ministry of Business, Innovation and Employment [UOWX1601]; New Zealand Ministry of Business, Innovation &amp; Employment (MBIE) [UOWX1601] Funding Source: New Zealand Ministry of Business, Innovation &amp; Employment (MBIE)</t>
  </si>
  <si>
    <t>University of Otago Strategic PhD scholarship; Ministry of Business, Innovation and Employment(New Zealand Ministry of Business, Innovation and Employment (MBIE)); New Zealand Ministry of Business, Innovation &amp; Employment (MBIE)(New Zealand Ministry of Business, Innovation and Employment (MBIE))</t>
  </si>
  <si>
    <t>We thank all those who gave their time to participate in the surveys. Roa Crease assisted with data collection in Auckland. Funding was provided through a University of Otago Strategic PhD scholarship and a Ministry of Business, Innovation and Employment grant UOWX1601 (People, Cities and Nature).</t>
  </si>
  <si>
    <t>10.1016/j.landurbplan.2021.104135</t>
  </si>
  <si>
    <t>SH4MA</t>
  </si>
  <si>
    <t>WOS:000654110100005</t>
  </si>
  <si>
    <t>How pro-environmental behaviour and nature relatedness is effected by childhood exposure</t>
  </si>
  <si>
    <t>One-on-one interviews, nature related scale and likert</t>
  </si>
  <si>
    <t>Newzealand</t>
  </si>
  <si>
    <t>Fisher, JC; Mistry, J; Pierre, MA; Yang, HC; Harris, A; Hunte, N; Fernandes, D; Bicknell, JE; Davies, ZG</t>
  </si>
  <si>
    <t>Fisher, Jessica Claris; Mistry, Jayalaxshmi; Pierre, Meshach Andre; Yang, Huichang; Harris, Arianne; Hunte, Nadia; Fernandes, Damian; Bicknell, Jake Emmerson; Davies, Zoe Georgina</t>
  </si>
  <si>
    <t>Using participatory video to share people's experiences of neotropical urban green and blue spaces with decision-makers</t>
  </si>
  <si>
    <t>GEOGRAPHICAL JOURNAL</t>
  </si>
  <si>
    <t>biodiversity; conservation; green spaces; Guyana; human well-being; participatory video</t>
  </si>
  <si>
    <t>COMMUNITY; HEALTH; ENVIRONMENTS; MANAGEMENT; BENEFITS; VALUES; FOREST; WATER</t>
  </si>
  <si>
    <t>Cities are complex, socio-ecological ecosystems providing both opportunity and detriment to human health and well-being. Specifically, urban green (e.g., parks) and blue spaces (e.g., coastline) can restore human psychological well-being. In the Global South, where rapid urbanisation is posing challenges for biodiversity conservation and the mental well-being of urban human populations, there has been little research on understanding the social and environmental benefits of urban green and blue spaces, which could inform decision-makers seeking sustainable land-use planning interventions. Here, we use participatory video (using film to co-produce research) to explore the relationships people have with urban green and blue spaces in Georgetown, Guyana, and communicate these findings to decision-makers. Short films created and discussed by city residents highlighted how specific characteristics of green and blue spaces contributed to restorative quality, a sense of place, and alleviated stress. At the same time, locally specific nuances were also revealed, such as folklore associated with urban wildlife and the importance of monuments framing Guyana's complex history. A composite film was screened to government ministries, park managers, and the Mayor and City Council, who articulated intentions to change the way these spaces were managed (e.g., maintaining specific features, encouraging visitation, raising awareness, and increasing the planned distribution of new spaces). We demonstrate how participatory video can allow participants to reflect on and change their interactions with urban green/blue spaces, while facilitating a unique and engaging dialogue between multiple stakeholders, with important, applied implications for both public health and biodiversity conservation.</t>
  </si>
  <si>
    <t>[Fisher, Jessica Claris; Bicknell, Jake Emmerson; Davies, Zoe Georgina] Univ Kent, Sch Anthropol &amp; Conservat, Durrell Inst Conservat &amp; Ecol DICE, Canterbury, Kent, England; [Mistry, Jayalaxshmi] Royal Holloway Univ London, Dept Geog, Egham, Surrey, England; [Pierre, Meshach Andre] Univ Florida, Dept Sociol Criminol &amp; Law, Gainesville, FL USA; [Yang, Huichang] Iwokrama Int Ctr Rainforest Conservat &amp; Dev, Georgetown, Guyana; [Harris, Arianne] Univ Guyana, Georgetown, Guyana; [Hunte, Nadia] Protected Areas Commiss Guyana, Georgetown, Guyana; [Fernandes, Damian] Conservat Int Guyana, Georgetown, Guyana</t>
  </si>
  <si>
    <t>University of Kent; University of London; Royal Holloway University London; State University System of Florida; University of Florida</t>
  </si>
  <si>
    <t>Fisher, JC (corresponding author), Univ Kent, Sch Anthropol &amp; Conservat, Durrell Inst Conservat &amp; Ecol DICE, Canterbury, Kent, England.</t>
  </si>
  <si>
    <t>J.C.Fisher@kent.ac.uk</t>
  </si>
  <si>
    <t>Fisher, Jessica Claris/0000-0002-1435-9247</t>
  </si>
  <si>
    <t>RGS; IBG (Dudley Stamp Memorial Award); Gilchrist Educational Foundation; Global Challenges Research Fund (Partnership Development Fund); ESRC [ES/J500148/1]; NERC [NE/L002582/1]; European Research Council (ERC) under the European Union [726104]; Faculty of Social Sciences Research Ethics Advisory Group [0511617]; Environmental Protection Agency of Guyana [051117BR006]; European Research Council (ERC) [726104] Funding Source: European Research Council (ERC)</t>
  </si>
  <si>
    <t>RGS; IBG (Dudley Stamp Memorial Award); Gilchrist Educational Foundation; Global Challenges Research Fund (Partnership Development Fund); ESRC(UK Research &amp; Innovation (UKRI)Economic &amp; Social Research Council (ESRC)); NERC(UK Research &amp; Innovation (UKRI)Natural Environment Research Council (NERC)); European Research Council (ERC) under the European Union(European Research Council (ERC)); Faculty of Social Sciences Research Ethics Advisory Group; Environmental Protection Agency of Guyana; European Research Council (ERC)(European Research Council (ERC)Spanish Government)</t>
  </si>
  <si>
    <t>We thank participants and decision-makers for contributing. Thanks to O. Davis, A. Bayney, and Guyana Zoo for coordinating logistics. Drone footage by K. Somarou was used in the composite film. Thanks to S. Bell (University of Exeter), D. Jafferally (Cobra Collective), and C. Willis (Natural England) for useful discussions. The project was supported by grants to JCF from the RGS with IBG (Dudley Stamp Memorial Award), Gilchrist Educational Foundation, the Global Challenges Research Fund (Partnership Development Fund), and ESRC (ES/J500148/1) and NERC (NE/L002582/1). ZGD is funded by the European Research Council (ERC) under the European Union's Horizon 2020 Research and Innovation Framework Programme (Consolidator Grant No. 726104). This project received ethical approval from the Faculty of Social Sciences Research Ethics Advisory Group for Human Participants (10 May 2017) (Ref No 0511617) and Environmental Protection Agency of Guyana (ref: 051117BR006).</t>
  </si>
  <si>
    <t>0016-7398</t>
  </si>
  <si>
    <t>1475-4959</t>
  </si>
  <si>
    <t>GEOGR J</t>
  </si>
  <si>
    <t>Geogr. J.</t>
  </si>
  <si>
    <t>10.1111/geoj.12406</t>
  </si>
  <si>
    <t>AUG 2021</t>
  </si>
  <si>
    <t>XD6LB</t>
  </si>
  <si>
    <t>WOS:000685859700001</t>
  </si>
  <si>
    <t>Relationship people have with BGS recorded with video</t>
  </si>
  <si>
    <t>Observational/Experimental</t>
  </si>
  <si>
    <t>Guyana</t>
  </si>
  <si>
    <t>Reeves, JP; John, CHD; Wood, KA; Maund, PR</t>
  </si>
  <si>
    <t>Reeves, Jonathan P.; John, Conor H. D.; Wood, Kevin A.; Maund, Phoebe R.</t>
  </si>
  <si>
    <t>A Qualitative Analysis of UK Wetland Visitor Centres as a Health Resource</t>
  </si>
  <si>
    <t>wildlife tourism; motivation; relaxation; biodiversity; spiritual wellbeing; attention restoration; green space; blue space; pro-environmental behaviours; connection to nature</t>
  </si>
  <si>
    <t>URBAN GREEN SPACES; PSYCHOLOGICAL BENEFITS; NATURAL ENVIRONMENTS; ECOSYSTEM SERVICES; PHYSICAL-ACTIVITY; BLUE SPACE; PLACE ATTACHMENT; SPECIES-RICHNESS; FAVORITE PLACES; FOREST SCHOOL</t>
  </si>
  <si>
    <t>The health benefits associated with spending time in natural environments have been highlighted during the COVID-19 pandemic. Lockdowns and restrictions to safeguard public health have exacerbated the pre-existing mental health crisis and rise of non-communicable diseases. Thus, the importance of nature as a health resource has been elevated, hastening calls for a better understanding of how health benefits might differ across user groups and nature provisions. In this regard, urban green spaces have become the greatest research focus; however, blue spaces, especially inland freshwater (e.g., wetlands), remain less studied. First-hand user experiences are also under-represented. This exploratory study examines the motivations and benefits of active wetland centre users in the UK, both during and after visits. Responses to three open-ended questions were collated online from 385 participants, and a qualitative content analysis was conducted based on an existing taxonomy from users of urban green spaces. The results showed strong motivations to visit due to the biodiversity at the site (mainly the birdlife), while less tangible nature (e.g., fresh air) and amenities were also important. In contrast to other studies on natural environments, physical activity was a less influential motivation. Salient derived effects included positive and intensely positive emotions, relaxation and mental restoration. After visits to wetland centres, feelings of vitality and satisfaction were the most prominent effects that emerged. For decision-makers looking to leverage inland blue spaces for public health benefit, our results highlight the broad range and relative prominence of the reasons for use and the associated perceived health benefits derived by users of UK wetland centres. They highlight how biodiversity, abiotic nature and good amenities are important qualities to consider when planning, managing and encouraging people to use natural environments for health benefit, qualities that may also provide important environmental co-benefits.</t>
  </si>
  <si>
    <t>[Reeves, Jonathan P.; Wood, Kevin A.; Maund, Phoebe R.] Wildfowl &amp; Wetlands Trust WWT, Ecosyst Hlth &amp; Social Dimens Unit, Slimbridge GL2 7BT, Glos, England; [John, Conor H. D.] Cardiff Univ, Sch Psychol, 70 Pk Pl, Cardiff CF10 3AT, Wales</t>
  </si>
  <si>
    <t>Cardiff University</t>
  </si>
  <si>
    <t>Reeves, JP (corresponding author), Wildfowl &amp; Wetlands Trust WWT, Ecosyst Hlth &amp; Social Dimens Unit, Slimbridge GL2 7BT, Glos, England.</t>
  </si>
  <si>
    <t>jonathan.reeves@wwt.org.uk; conorj1995@gmail.com; kevin.wood@wwt.org.uk; phoebe.r.maund@gmail.com</t>
  </si>
  <si>
    <t>Liu, Hai-Ying/P-5557-2014; Wood, Kevin/C-7312-2012</t>
  </si>
  <si>
    <t>Liu, Hai-Ying/0000-0001-8667-3465; Wood, Kevin/0000-0001-9170-6129; REEVES, JONATHAN/0000-0003-4723-3015; John, Conor/0000-0002-0071-114X</t>
  </si>
  <si>
    <t>10.3390/ijerph18168629</t>
  </si>
  <si>
    <t>UI3LQ</t>
  </si>
  <si>
    <t>gold, Green Published, Green Accepted</t>
  </si>
  <si>
    <t>WOS:000690513600001</t>
  </si>
  <si>
    <t>Peoples emotions and feelings before and after visiting a wetland</t>
  </si>
  <si>
    <t>Coded interviews and thematic outputs</t>
  </si>
  <si>
    <t>Fisher, JC; Bicknell, JE; Irvine, KN; Fernandes, D; Mistry, J; Davies, ZG</t>
  </si>
  <si>
    <t>Fisher, Jessica Claris; Bicknell, Jake Emmerson; Irvine, Katherine Nesbitt; Fernandes, Damian; Mistry, Jayalaxshmi; Davies, Zoe Georgina</t>
  </si>
  <si>
    <t>Exploring how urban nature is associated with human wellbeing in a neotropical city</t>
  </si>
  <si>
    <t>Cultural ecosystem service; Duration; Motivations; Global South; Nature-relatedness; Mental health</t>
  </si>
  <si>
    <t>GREEN-SPACE; NATURE RELATEDNESS; HEALTH; CITIES; URBANIZATION; ENVIRONMENTS; COMMUNITY; COUNTRIES; PATHWAYS; IMPACTS</t>
  </si>
  <si>
    <t>Human population growth and urbanisation are putting pressure on urban green and blue spaces worldwide. These spaces provide habitat for biodiversity and, as evidence from the Global North shows, can provide health and wellbeing benefits to urban dwellers. Nonetheless, there is a paucity of evidence regarding the wellbeing benefits associated with urban green and blue spaces from the Global South, where the fastest rates of population growth and urban expansion are occurring. Here, we examine green and blue spaces in Georgetown, Guyana, exploring whether frequency and duration of use is (1) associated with nature-relatedness, safety concerns, and sociodemographic characteristics, (2) associated with specific visit motivations (e.g. physical, cognitive, social), and (3) associated with wellbeing (positive and negative experiential, evaluative, eudaimonic, and mental wellbeing). Participants (n = 512) were more likely to visit green and blue spaces if they had higher naturerelatedness, no safety concerns, aged &lt;35 years, and educated above secondary level. Visit frequency was not related to wellbeing. Visit duration did not differentiate according to visit motivations. Visits to green and blue spaces of more than 25 min were associated with increased positive experiential wellbeing. No comparable patterns were found for the other wellbeing dimensions. These findings can inform public health campaigns targeted at specific sociodemographic groups. Moreover, decision-makers could minimise health inequalities by incorporating new green and blue spaces into future development plans (including the provision of backyards), and enhancing existing spaces (e.g. reducing people's safety concerns). These measures will help maximise wellbeing across all sectors of society.</t>
  </si>
  <si>
    <t>[Fisher, Jessica Claris; Bicknell, Jake Emmerson; Davies, Zoe Georgina] Univ Kent, Durrell Inst Conservat &amp; Ecol DICE, Canterbury CT2 7NR, Kent, England; [Irvine, Katherine Nesbitt] James Hutton Inst, Social Econ &amp; Geog Sci, Aberdeen AB15 8QH, Scotland; [Fernandes, Damian] Conservat Int Guyana, 98 Laluni St, Georgetown, Guyana; [Mistry, Jayalaxshmi] Royal Holloway Univ London, Dept Geog, Egham Hill, Egham TW20 0EX, Surrey, England</t>
  </si>
  <si>
    <t>University of Kent; James Hutton Institute; University of London; Royal Holloway University London</t>
  </si>
  <si>
    <t>Fisher, JC (corresponding author), Univ Kent, Durrell Inst Conservat &amp; Ecol DICE, Canterbury CT2 7NR, Kent, England.</t>
  </si>
  <si>
    <t>RGS with IBG; Gilchrist Educational Foundation; ESRC [ES/J500148/1]; NERC [NE/L002582/1]; RESAS Division of the Scottish Government; European Research Council (ERC) under the European Union's Horizon 2020 Research and Innovation Framework Programme [726104]; ESRC [ES/J500148/1] Funding Source: UKRI</t>
  </si>
  <si>
    <t>RGS with IBG; Gilchrist Educational Foundation; ESRC(UK Research &amp; Innovation (UKRI)Economic &amp; Social Research Council (ESRC)); NERC(UK Research &amp; Innovation (UKRI)Natural Environment Research Council (NERC)); RESAS Division of the Scottish Government; European Research Council (ERC) under the European Union's Horizon 2020 Research and Innovation Framework Programme(European Research Council (ERC)); ESRC(UK Research &amp; Innovation (UKRI)Economic &amp; Social Research Council (ESRC))</t>
  </si>
  <si>
    <t>We thank our field assistants, H. Yang, W.M. Hayes, M. Pierre, A. Harris, S.K. Rampertab, N. Hunte, K. Joshi, and J. Crosse. Logistical support was provided by WWF Guyana and the Protected Areas Commission, most notably A. Bayney. We also thank S. Bharrat (Conservation International Guyana) and R. Caesar (Iwokrama) for useful discussions. JCF was supported by grants from the RGS with IBG, Gilchrist Educational Foundation, ESRC (ES/J500148/1) and NERC (NE/L002582/1). KNI was supported by the RESAS Division of the Scottish Government. KNI and ZGD are supported by the European Research Council (ERC) under the European Union's Horizon 2020 Research and Innovation Framework Programme (Consolidator Grant No. 726104). Permission for this research was provided by the Environmental Protection Agency of Guyana (ref. 051117 BR 006).</t>
  </si>
  <si>
    <t>10.1016/j.landurbplan.2021.104119</t>
  </si>
  <si>
    <t>SB0ZB</t>
  </si>
  <si>
    <t>WOS:000649730500001</t>
  </si>
  <si>
    <t xml:space="preserve">Whether frequency or duration of use is linked to health metrics and natural realatedness </t>
  </si>
  <si>
    <t>Face to face questionaire (WHO-5, Nature relatedness)</t>
  </si>
  <si>
    <t>observational</t>
  </si>
  <si>
    <t>Maes, MJA; Pirani, M; Booth, ER; Shen, C; Milligan, B; Jones, KE; Toledano, MB</t>
  </si>
  <si>
    <t>Maes, Mikael J. A.; Pirani, Monica; Booth, Elizabeth R.; Shen, Chen; Milligan, Ben; Jones, Kate E.; Toledano, Mireille B.</t>
  </si>
  <si>
    <t>Benefit of woodland and other natural environments for adolescents' cognition and mental health</t>
  </si>
  <si>
    <t>NATURE SUSTAINABILITY</t>
  </si>
  <si>
    <t>GREEN SPACE; AIR-POLLUTION; RESIDENTIAL EXPOSURE; BLUE SPACES; IMPACT; CHILDREN; LONDON</t>
  </si>
  <si>
    <t>A longitudinal cohort study shows a positive effect of exposure to woodland in urban areas on cognitive development and emotional and behavioural well-being in children, but no effect of blue space or grassland. Epidemiological studies have established positive associations of urban nature with cognitive development and mental health. However, why specifically these health benefits are received remains unclear, especially in adolescents. We used longitudinal data in a cohort of 3,568 adolescents aged 9 to 15 years at 31 schools across London, UK, to examine the associations between natural-environment types and adolescents' cognitive development, mental health and overall well-being. We characterized natural-environment types in three tiers, where natural space was distinguished into green and blue space, and green space was further distinguished into woodland and grassland. We showed that, after adjusting for other confounding variables, higher daily exposure to woodland, but not grassland, was associated with higher scores for cognitive development and a lower risk of emotional and behavioural problems for adolescents. A similar but smaller effect was seen for green space, but not blue space, with higher scores for cognitive development. Our results suggest that urban planning decisions to optimize ecosystem benefits linked to cognitive development and mental health should carefully consider the type of natural environment included.</t>
  </si>
  <si>
    <t>[Maes, Mikael J. A.] UCL, Dept Geog, London, England; [Maes, Mikael J. A.; Jones, Kate E.] UCL, Ctr Biodivers &amp; Environm Res, Dept Genet Evolut &amp; Environm, London, England; [Maes, Mikael J. A.; Pirani, Monica; Shen, Chen; Toledano, Mireille B.] Imperial Coll London, Fac Med, MRC Ctr Environm &amp; Hlth, Sch Publ Hlth, London, England; [Maes, Mikael J. A.; Toledano, Mireille B.] Imperial Coll London, Fac Med, Mohn Ctr Childrens Hlth &amp; Wellbeing, Sch Publ Hlth, London, England; [Booth, Elizabeth R.] Birkbeck Coll, Ctr Educ Neurosci, Dept Psychol Sci, London, England; [Milligan, Ben] UCL, Inst Sustainable Resources, London, England; [Milligan, Ben] Univ New South Wales, UNSW Sydney, Law Sch, Kensington, NSW, Australia</t>
  </si>
  <si>
    <t>University of London; University College London; University of London; University College London; Imperial College London; Imperial College London; University of London; Birkbeck University London; University of London; University College London; University of New South Wales Sydney</t>
  </si>
  <si>
    <t>Maes, MJA (corresponding author), UCL, Dept Geog, London, England.;Maes, MJA; Jones, KE (corresponding author), UCL, Ctr Biodivers &amp; Environm Res, Dept Genet Evolut &amp; Environm, London, England.;Maes, MJA; Toledano, MB (corresponding author), Imperial Coll London, Fac Med, MRC Ctr Environm &amp; Hlth, Sch Publ Hlth, London, England.;Maes, MJA; Toledano, MB (corresponding author), Imperial Coll London, Fac Med, Mohn Ctr Childrens Hlth &amp; Wellbeing, Sch Publ Hlth, London, England.</t>
  </si>
  <si>
    <t>mikael.maes.16@ucl.ac.uk; kate.e.jones@ucl.ac.uk; m.toledano@imperial.ac.uk</t>
  </si>
  <si>
    <t>Maes, Mikaël J. A./ABF-1612-2020; Jones, Kate/G-4768-2010</t>
  </si>
  <si>
    <t>Jones, Kate/0000-0001-5231-3293; Toledano, Mireille/0000-0001-5695-6210; Pirani, Monica/0000-0002-6418-3278; Maes, Mikael J. A./0000-0002-0419-4514</t>
  </si>
  <si>
    <t>London Natural Environment Research Council Doctoral Training Program [NE/L002485/1]; MRC Centre for Environment and Health based at Imperial College London [MR/L01341X/1]; NIHR Health Protection Research Unit in the Health Impact of Environmental Hazards, based at King's College London; NIHR Health Protection Research Unit in the Health Impact of Environmental Hazards, based at Imperial College London; Public Health England (PHE) [HPRU-2012-10141]; NIHR PRP; National Institute for Health Research (NIHR) [091/0212]</t>
  </si>
  <si>
    <t>London Natural Environment Research Council Doctoral Training Program; MRC Centre for Environment and Health based at Imperial College London; NIHR Health Protection Research Unit in the Health Impact of Environmental Hazards, based at King's College London; NIHR Health Protection Research Unit in the Health Impact of Environmental Hazards, based at Imperial College London; Public Health England (PHE); NIHR PRP; National Institute for Health Research (NIHR)(National Institutes of Health Research (NIHR))</t>
  </si>
  <si>
    <t>We thank M. Blangiardo (Imperial College London) and R. Gibb (University College London) for feedback on the statistical analyses. This study is supported by funding of the London Natural Environment Research Council Doctoral Training Program (NE/L002485/1, M.J.A.M), the MRC Centre for Environment and Health (MR/L01341X/1, M.B.T.) based at Imperial College London and the NIHR Health Protection Research Unit in the Health Impact of Environmental Hazards, based at King's College London and Imperial College London, in partnership with Public Health England (PHE) (HPRU-2012-10141, M.B.T.). SCAMP is independent research funded by the National Institute for Health Research (NIHR) Policy Research Program (PRP) (Secondary School Cohort Study of Mobile Phone Use and Neurocognitive and Behavioural Outcomes/091/0212) via the Research Initiative on Health and Mobile Telecommunications, a partnership between public funders and the mobile phone industry. An extension to SCAMP is funded by NIHR PRP. The funders of the study had no role in the design or conduct of the study or the reporting of the SCAMP study results. M.B.T. chair and the work in this paper are supported in part by a donation from Marit Mohn to Imperial College London to support Population Child Health. The views expressed in this paper are those of the authors and not necessarily those of the NIHR, DHSC, PHE or any other funder.</t>
  </si>
  <si>
    <t>2398-9629</t>
  </si>
  <si>
    <t>NAT SUSTAIN</t>
  </si>
  <si>
    <t>Nat. Sustain.</t>
  </si>
  <si>
    <t>+</t>
  </si>
  <si>
    <t>10.1038/s41893-021-00751-1</t>
  </si>
  <si>
    <t>JUL 2021</t>
  </si>
  <si>
    <t>WI6VV</t>
  </si>
  <si>
    <t>WOS:000674538800001</t>
  </si>
  <si>
    <t>Exposure to GBS and cognitive development and well-being</t>
  </si>
  <si>
    <t xml:space="preserve">10m and 2m </t>
  </si>
  <si>
    <t>Surveys and computerised EF tasks</t>
  </si>
  <si>
    <t>Longitdudinal cohort</t>
  </si>
  <si>
    <t>UK (London)</t>
  </si>
  <si>
    <t>Becker, DA; Browning, MHEM</t>
  </si>
  <si>
    <t>Becker, Douglas A.; Browning, Matthew H. E. M.</t>
  </si>
  <si>
    <t>Total area greenness is associated with lower per-capita medicare spending, but blue spaces are not</t>
  </si>
  <si>
    <t>CITY AND ENVIRONMENT INTERACTIONS</t>
  </si>
  <si>
    <t>Green space; Bluespace; Healthcare costs</t>
  </si>
  <si>
    <t>HEALTH-BENEFITS; NATURAL ENVIRONMENTS; LAND-COVER; MORTALITY; GREENSPACE; COSTS; TREES; EXPOSURE; RECOVERY; URBANITY</t>
  </si>
  <si>
    <t>As evidence continues to mount that areas with more natural spaces also have healthier residents, researchers are beginning to suspect that these benefits extend beyond health to other related factors, such as healthcare spending. If more nature translates to better health, does more nature ultimately reduce the need for and spending on healthcare, and is this especially true for the elderly and disabled, who benefit differently from nature? This study aims to answer that question, employing a cross-sectional, ecological study design on county-level, annual per-capita Medicare spending in the United States. We examine the association between Medicare spending and the amount of total greenness in a county as well as the amount of blue space, or open water, in a county while controlling for demographic, socioeconomic, and healthcare access confounders. Our results show a significant and inverse association between greenness and spending and mixed results in regard to blue spaces and spending. The greenness-spending association persists in varying levels of the urban-rural spectrum, including both the most and least urban counties.</t>
  </si>
  <si>
    <t>[Becker, Douglas A.] Univ Illinois, Dept Nat Resources &amp; Environm Sci, Urbana, IL USA; [Browning, Matthew H. E. M.] Clemson Univ, Dept Pk Recreat &amp; Tourism Management, Clemson, SC USA</t>
  </si>
  <si>
    <t>University of Illinois System; University of Illinois Urbana-Champaign; Clemson University</t>
  </si>
  <si>
    <t>Becker, DA (corresponding author), 1102 S Goodwin Ave, Urbana, IL 61801 USA.</t>
  </si>
  <si>
    <t>dab3@illinois.edu</t>
  </si>
  <si>
    <t>USDA US Forest Service; National and Urban Community Forestry Advisory Council [16-DG-11132544-036, 20-DG-11132544-057]</t>
  </si>
  <si>
    <t>USDA US Forest Service; National and Urban Community Forestry Advisory Council</t>
  </si>
  <si>
    <t>This work was supported by a grant from USDA US Forest Service supported by the National and Urban Community Forestry Advisory Council (Grants 16-DG-11132544-036 and 20-DG-11132544-057) .</t>
  </si>
  <si>
    <t>2590-2520</t>
  </si>
  <si>
    <t>CITY ENVIRON INTERAC</t>
  </si>
  <si>
    <t>City Environ. Interact.</t>
  </si>
  <si>
    <t>10.1016/j.cacint.2021.100063</t>
  </si>
  <si>
    <t>Environmental Sciences; Environmental Studies; Meteorology &amp; Atmospheric Sciences</t>
  </si>
  <si>
    <t>Environmental Sciences &amp; Ecology; Meteorology &amp; Atmospheric Sciences</t>
  </si>
  <si>
    <t>UL7MG</t>
  </si>
  <si>
    <t>WOS:000692830400002</t>
  </si>
  <si>
    <t>Fisher, JC; Bicknell, JE; Irvine, KN; Hayes, WM; Fernandes, D; Mistry, J; Davies, ZG</t>
  </si>
  <si>
    <t>Fisher, Jessica C.; Bicknell, Jake E.; Irvine, Katherine N.; Hayes, William M.; Fernandes, Damian; Mistry, Jayalaxshmi; Davies, Zoe G.</t>
  </si>
  <si>
    <t>Bird diversity and psychological wellbeing: A comparison of green and coastal blue space in a neotropical city</t>
  </si>
  <si>
    <t>Ecosystem service; Global South; Human-wildlife interactions; Mental health; Urban planning</t>
  </si>
  <si>
    <t>URBAN GREEN; MENTAL-HEALTH; BIODIVERSITY; BENEFITS; URBANIZATION; PERCEPTION; COUNTRIES; EXPOSURE; QUALITY; VISITS</t>
  </si>
  <si>
    <t>Accelerating rates of urbanisation are contributing to biodiversity declines worldwide. However, urban green (e.g. parks) and blue spaces (e.g. coast) provide important habitat for species. Emerging evidence also shows that green and blue spaces can benefit human psychological wellbeing, although few studies originate from the Global South and it is unclear whether more biodiverse spaces offer greater wellbeing gains. We examine how bird diversity (abundance, species richness, Shannon diversity, and community composition) in green and coastal blue space in Georgetown, Guyana, is associated with people's wellbeing (positive and negative af-fect, anxiety) in situ, using point counts and questionnaires. Bird community composition differed between green and coastal sites, and diversity was significantly higher in green sites. Positive affect and anxiety did not differ between green and coastal sites, but negative affect was higher in coastal sites. Mixed-effect models showed no associations between biodiversity and wellbeing, implying other features are contributing to people's positive wellbeing. Despite no association between biodiversity and wellbeing, both green and coastal blue sites are important for wellbeing and supporting different bird communities. City planning authorities and public health professionals should ensure these social and environmental needs are met in developing cities in the Global South. (c) 2021 The Author(s). Published by Elsevier B.V. This is an open access article under the CC BY-NC-ND license (http://creativecommons.org/licenses/by-nc-nd/4.0/).</t>
  </si>
  <si>
    <t>[Fisher, Jessica C.; Bicknell, Jake E.; Hayes, William M.; Davies, Zoe G.] Univ Kent, Durrell Inst Conservat &amp; Ecol DICE, Canterbury CT2 7NR, Kent, England; [Irvine, Katherine N.] James Hutton Inst, Social Econ &amp; Geog Sci, Aberdeen AB15 8QH, Scotland; [Fernandes, Damian] Conservat Int Guyana, 98 Laluni St, Georgetown, Guyana; [Mistry, Jayalaxshmi] Royal Holloway Univ London, Dept Geog, Egham Hill, Egham TW20 0EX, Surrey, England</t>
  </si>
  <si>
    <t>Royal Geographical Society; Economic and Social Research Council (ESRC) [ES/J500148/1]; Natural Environment Research Council (NERC) [NE/L002582/1]; RESAS Division of the Scot-tish Government KNI; European Research Council (ERC) under the European Union [726104]; IBG (Dudley Stamp Award); European Research Council (ERC) [726104] Funding Source: European Research Council (ERC)</t>
  </si>
  <si>
    <t>Royal Geographical Society; Economic and Social Research Council (ESRC)(UK Research &amp; Innovation (UKRI)Economic &amp; Social Research Council (ESRC)); Natural Environment Research Council (NERC)(UK Research &amp; Innovation (UKRI)Natural Environment Research Council (NERC)); RESAS Division of the Scot-tish Government KNI; European Research Council (ERC) under the European Union(European Research Council (ERC)); IBG (Dudley Stamp Award); European Research Council (ERC)(European Research Council (ERC)Spanish Government)</t>
  </si>
  <si>
    <t>We thank A. Harris, K. Hernandez, K. Joshi, J. Kennedy, L. Moore, B. O'Shea, M. Pierre, S. Rampertab, D. Somwaru, and H. Yang. Support was provided by O. Davis and A. Bayney at the Protected Areas Commis-sion Guyana and A. Williams at WWF Guianas. The project was sup-ported by grants to JCF from Royal Geographical Society with IBG (Dudley Stamp Award) , Economic and Social Research Council (ESRC) (ES/J500148/1) and Natural Environment Research Council (NERC) (NE/L002582/1) . KNI was supported by the RESAS Division of the Scot-tish Government KNI and ZDG are supported by the European Research Council (ERC) under the European Union's Horizon 2020 Research and Innovation Framework Programme (Consolidator Grant No. 726104) . Permission was provided by the Guyana Environmental Protection Agency (051117BR006) .</t>
  </si>
  <si>
    <t>10.1016/j.scitotenv.2021.148653</t>
  </si>
  <si>
    <t>JUN 2021</t>
  </si>
  <si>
    <t>UK0ME</t>
  </si>
  <si>
    <t>hybrid, Green Accepted</t>
  </si>
  <si>
    <t>WOS:000691668800004</t>
  </si>
  <si>
    <t>How bird communitiy in green and blue spaces effect well-being</t>
  </si>
  <si>
    <t xml:space="preserve">Face to face survey, scales PANA </t>
  </si>
  <si>
    <t>Ciupa, T; Suligowski, R</t>
  </si>
  <si>
    <t>Ciupa, Tadeusz; Suligowski, Roman</t>
  </si>
  <si>
    <t>Green-Blue Spaces and Population Density versus COVID-19 Cases and Deaths in Poland</t>
  </si>
  <si>
    <t>green-blue spaces; population density; COVID-19 cases and deaths; relationships; Poland</t>
  </si>
  <si>
    <t>MENTAL-HEALTH; RESIDENTIAL GREEN; NATURAL ENVIRONMENTS; URBAN AGRICULTURE; CARBON STORAGE; AIR-QUALITY; TEMPERATURE; EXPOSURE; TRANSMISSION; BENEFITS</t>
  </si>
  <si>
    <t>In the last year, in connection with the COVID-19 pandemic caused by the SARS-CoV-2 coronavirus, scientific papers have appeared in which the authors are trying to identify factors (including environmental) favoring the spread of this disease. This paper presents the spatial differentiation in the total number of COVID-19 cases and deaths during the full year (March 2020-March 2021) of the SARS-CoV-2 pandemic in Poland versus green-blue spaces (green-i.a. forests, orchards, meadows and pastures, recreational and rest areas, biologically active arable land; blue-lakes and artificial water reservoirs, rivers, ecological areas and internal waters) and population density. The analysis covers 380 counties, including 66 cities. This study used daily reports on the progress of the pandemic in Poland published by the Ministry of Health of the Republic of Poland and unique, detailed data on 24 types of land use available in the Statistics Poland database. Statistical relationships were determined between the above-mentioned environmental variables and the variables characterizing COVID-19 (cases and deaths). Various basic types of regression models were analysed. The optimal model was selected, and the determination coefficient, significance level and the values of the parameters of these relationships, together with the estimation error, were calculated. The obtained results indicated that the higher the number of green-blue spaces in individual counties, the lower the total number of COVID-19 infections and deaths. These relationships were described by logarithmic and homographic models. In turn, an increase in the population density caused an increase in COVID-19 cases and deaths, according to the power model. These results can be used in the current analysis of the spread of the pandemic, including the location of potential outbreaks. In turn, the developed models can be used as a tool in forecasting the development of the pandemic and making decisions about the implementation of preventive measures.</t>
  </si>
  <si>
    <t>[Ciupa, Tadeusz; Suligowski, Roman] Jan Kochanowski Univ Humanities &amp; Sci, Dept Environm Res &amp; Geoinformat, Inst Geog &amp; Environm Sci, Uniwersytecka 7, PL-25406 Kielce, Poland</t>
  </si>
  <si>
    <t>Jan Kochanowski University</t>
  </si>
  <si>
    <t>Suligowski, R (corresponding author), Jan Kochanowski Univ Humanities &amp; Sci, Dept Environm Res &amp; Geoinformat, Inst Geog &amp; Environm Sci, Uniwersytecka 7, PL-25406 Kielce, Poland.</t>
  </si>
  <si>
    <t>tadeusz.ciupa@ujk.edu.pl; roman.suligowski@ujk.edu.pl</t>
  </si>
  <si>
    <t>Suligowski, Roman/AGO-6564-2022</t>
  </si>
  <si>
    <t>Suligowski, Roman/0000-0001-8947-324X; Ciupa, Tadeusz/0000-0002-0387-637X</t>
  </si>
  <si>
    <t>Jan Kochanowski University in Kielce</t>
  </si>
  <si>
    <t>The research and APC were funded by Jan Kochanowski University in Kielce.</t>
  </si>
  <si>
    <t>10.3390/ijerph18126636</t>
  </si>
  <si>
    <t>SY8KM</t>
  </si>
  <si>
    <t>WOS:000666129900001</t>
  </si>
  <si>
    <t>C19 related deaths in relation to UBGS densities</t>
  </si>
  <si>
    <t>Death toll in relation to UBGS</t>
  </si>
  <si>
    <t>Brzoska, P; Grunewald, K; Bastian, O</t>
  </si>
  <si>
    <t>Brzoska, P.; Grunewald, K.; Bastian, O.</t>
  </si>
  <si>
    <t>A multi-criteria analytical method to assess ecosystem services at urban site level, exemplified by two German city districts</t>
  </si>
  <si>
    <t>ECOSYSTEM SERVICES</t>
  </si>
  <si>
    <t>Ecosystem service capacity; Site scale; Mapping; MCDM; Multi-criteria analysis</t>
  </si>
  <si>
    <t>GREEN SPACES; GROUND COVER; HEAT-ISLAND; BLUE SPACE; BIODIVERSITY; MICROCLIMATE; BENEFITS; HEALTH; IMPACT; PARKS</t>
  </si>
  <si>
    <t>Urban green spaces and their ecosystem services (ES) are vital for the well-being and quality of life of growing urban populations. The concept of ES is a useful aid to urban planners and a major factor in the development of city districts in which local people have access to urban greenery and their services. Here we present a transferable method to map and assess the capacity of ecosystems to deliver urban ES, exemplified for two German city districts. Based on multi-criteria decision making (MCDM), this method was developed in cooperation with the environmental agencies of the investigated cities and incorporates site-specific data from field mapping. The results are given in the form of a spatial distribution of the delimitated ecosystem types and their capacities to provide three exemplary ES ('bioclimatic regulation', 'nature experience', and 'passive recreation'). Generated maps show areas deficient in ES, which can then be used for spatial prioritization of development measures. In addition, it is possible to estimate and visualize the potential impact that specific measures will have on ES provision. The many advantages of this approach include its general flexibility and the generation of precise location-specific data. Furthermore, it can contribute to a value-based communication aimed at fostering the preservation of urban green spaces.</t>
  </si>
  <si>
    <t>[Brzoska, P.; Grunewald, K.] Leibniz Inst Ecol Urban &amp; Reg Dev, Weberpl 1, D-01217 Dresden, Germany; [Bastian, O.] City Dresden, Environm Off, Dresden, Germany</t>
  </si>
  <si>
    <t>Leibniz Institut fur okologische Raumentwicklung</t>
  </si>
  <si>
    <t>Brzoska, P (corresponding author), Leibniz Inst Ecol Urban &amp; Reg Dev, Weberpl 1, D-01217 Dresden, Germany.</t>
  </si>
  <si>
    <t>p.brzoska@ioer.de; k.grunewald@ioer.de; olaf.bastian@web.de</t>
  </si>
  <si>
    <t>Federal Ministry of Education and Research (BMBF) in the joint project 'HeatResilientCity' [01LR1724A]</t>
  </si>
  <si>
    <t>Federal Ministry of Education and Research (BMBF) in the joint project 'HeatResilientCity'(Federal Ministry of Education &amp; Research (BMBF))</t>
  </si>
  <si>
    <t>This research was primarily funded by the Federal Ministry of Education and Research (BMBF) in the joint project 'HeatResilientCity' (subproject grant number: 01LR1724A) . The project manager is the DLR project management agency (DLRPT) . We thank the environmental offices of Dresden and Erfurt for their data provision and collaborative assistance in the field work as well as additional consultation. We also would like to thank Oskar Wagner and Lagune e.V. for their valuable help in mapping. Our grateful thanks also to Oskar Wagner for his assistance in digitizing the mapping data for Erfurt. Also we would like to thank the HeatResilientCity project team as well as Prof. Irene Ring and her research group for valuable inputs to this study. Finally, the authors would like to thank Derek Henderson for language polishing and the anonymous reviewers for their very helpful comments and hints.</t>
  </si>
  <si>
    <t>2212-0416</t>
  </si>
  <si>
    <t>ECOSYST SERV</t>
  </si>
  <si>
    <t>Ecosyst. Serv.</t>
  </si>
  <si>
    <t>10.1016/j.ecoser.2021.101268</t>
  </si>
  <si>
    <t>MAY 2021</t>
  </si>
  <si>
    <t>Ecology; Environmental Sciences; Environmental Studies</t>
  </si>
  <si>
    <t>SV4AC</t>
  </si>
  <si>
    <t>Bronze</t>
  </si>
  <si>
    <t>WOS:000663762100007</t>
  </si>
  <si>
    <t>Inform future urban design to maxmise ecocsytem services</t>
  </si>
  <si>
    <t>Tuofu, H; Qingyun, H; Dongxiao, Y; Xiao, OY</t>
  </si>
  <si>
    <t>Tuofu, Huang; Qingyun, He; Dongxiao, Yang; Xiao, Ouyang</t>
  </si>
  <si>
    <t>Evaluating the Impact of Urban Blue Space Accessibility on Housing Price: A Spatial Quantile Regression Approach Applied in Changsha, China</t>
  </si>
  <si>
    <t>FRONTIERS IN ENVIRONMENTAL SCIENCE</t>
  </si>
  <si>
    <t>blue space; housing price; spatial quantile regression; accessibility; urban China</t>
  </si>
  <si>
    <t>RESIDENTIAL PROPERTY-VALUES; ECOSYSTEM SERVICES; FLOOD HAZARDS; GREEN SPACE; HEALTH; EXTERNALITIES; DETERMINANTS; FACILITIES; AMENITIES; COSTS</t>
  </si>
  <si>
    <t>Urban nature spaces are increasingly recognized as essential urban features providing crucial amenities to the residents' health and well-being. While many studies have been conducted focusing on the influence of green spaces on house prices, very few have explored the impact of urban blue spaces. In this study, we analyzed the proximity effects of different types and sizes of urban blue spaces on property value in Changsha metropolis, China, and examined the spatial quantile effect across different housing prices. A two-stage instrumental method (2SLS) hedonic model was employed to evaluate the impact of different types of urban blue space: river (mainstream and tributary), wetland park, and lakes (large, medium, and small). Spatial quantile regression (SQR) was then used to measure the spatial effect of accessibility on various house price ranges. The 2SLS results show that, except for small-sized lakes, proximity to blue spaces significantly increases property value. Analysis of the SQR model reveals that proximity to major blue spaces increases the marginal willingness-to-pay among homebuyers of high-priced properties, while ordinary blue spaces are more attractive to buyers of low- and medium-priced houses. This may be broadly related to the level of education, utility, and sensitivity to ecosystem services across income groups. Based on these findings, we recommend that urban planners adopt different strategies to promote space utilization efficiency. This is one of the few studies that analyze the capitalization of blue space accessibility in house prices across different quantiles. By categorizing blue spaces and employing the SQR model, this study found the effect of blue spaces on housing prices to be heterogeneous, providing new perspectives to the existing literature.</t>
  </si>
  <si>
    <t>[Tuofu, Huang; Qingyun, He] Hunan Normal Univ, Coll Geog Sci, Changsha, Peoples R China; [Dongxiao, Yang] Hunan Univ, Sch Econ &amp; Trade, Changsha, Peoples R China; [Xiao, Ouyang] Hunan Univ Finance &amp; Econ, Hunan Inst Econ Geog, Changsha, Peoples R China</t>
  </si>
  <si>
    <t>Hunan Normal University; Hunan University</t>
  </si>
  <si>
    <t>Qingyun, H (corresponding author), Hunan Normal Univ, Coll Geog Sci, Changsha, Peoples R China.</t>
  </si>
  <si>
    <t>heqingyun1848@gmail.com</t>
  </si>
  <si>
    <t>Major Program of National Social Science Foundation of China [18ZDAA040]; Natural Science Foundation of Hunan Province [2020JJ5111]; Project of Hunan Social Science Achievement Appraisal Committee [XSP20YBZ081]; Young Teacher Innovation Drive</t>
  </si>
  <si>
    <t>Major Program of National Social Science Foundation of China(National Natural Science Foundation of China (NSFC)); Natural Science Foundation of Hunan Province(Natural Science Foundation of Hunan Province); Project of Hunan Social Science Achievement Appraisal Committee; Young Teacher Innovation Drive</t>
  </si>
  <si>
    <t>This research was funded by the Major Program of National Social Science Foundation of China (18ZDAA040) and Natural ScienceFoundation of Hunan Province (2020JJ5111), Project of Hunan Social Science Achievement Appraisal Committee (XSP20YBZ081), Young Teacher Innovation Drive</t>
  </si>
  <si>
    <t>2296-665X</t>
  </si>
  <si>
    <t>FRONT ENV SCI-SWITZ</t>
  </si>
  <si>
    <t>Front. Environ. Sci.</t>
  </si>
  <si>
    <t>MAY 20</t>
  </si>
  <si>
    <t>10.3389/fenvs.2021.696626</t>
  </si>
  <si>
    <t>SM0BA</t>
  </si>
  <si>
    <t>WOS:000657277100001</t>
  </si>
  <si>
    <t>House prices</t>
  </si>
  <si>
    <t>Hoeben, AD; Posch, A</t>
  </si>
  <si>
    <t>Hoeben, Annechien Dirkje; Posch, Alfred</t>
  </si>
  <si>
    <t>Green roof ecosystem services in various urban development types: A case study in Graz, Austria</t>
  </si>
  <si>
    <t>Block development; Geographic information systems (GIS); Historical perimeter block development; Row development; Spatial analysis; Urban ecosystem services (UESs)</t>
  </si>
  <si>
    <t>HEALTH-BENEFITS; HEAT-ISLAND; HYDROLOGICAL PERFORMANCE; BLUE SPACES; POLLUTION; CHALLENGES; MITIGATION; EXPOSURE; CLIMATE; QUALITY</t>
  </si>
  <si>
    <t>In this paper, we describe how different urban development types and environmental conditions could affect the broad distribution of green roofs in Graz (Austria). A GIS-based mapping method was applied along the lines of four ecosystem services (i.e., regulation of microclimate temperature regulation, support of air quality improvement support, stormwater retention and biodiversity enhancement). The results are rather positive and indicate that green roofs are fit on 87 % of the investigated roof area (172 out of 203 buildings) based on roof dimensions and constructional measures. Among the investigated roof area, 63 % was classified as having a 'high need' for greening and, thus, a need to generate ecosystem services in urban environments. These results present a paradox: Roofs on block and row development are more appropriate for greening purposes than roofs on historical perimeter block development, but the latter is often found in environments where green roofs are needed more (i.e., inner-city centres). Therefore, city planners should consider using different greening strategies for distinct urban development types under diverse environmental conditions and prioritise the greening actions accordingly. These findings may be relevant in other historically grown, centrally compact European cities.</t>
  </si>
  <si>
    <t>[Hoeben, Annechien Dirkje; Posch, Alfred] Karl Franzens Univ Graz, Inst Syst Sci Innovat &amp; Sustainabil Res, Merangasse 18-1, A-8010 Graz, Austria</t>
  </si>
  <si>
    <t>University of Graz</t>
  </si>
  <si>
    <t>Hoeben, AD (corresponding author), Merangasse 18-1, A-8010 Graz, Austria.</t>
  </si>
  <si>
    <t>Annechien.Hoeben@uni-graz.at</t>
  </si>
  <si>
    <t>Posch, Alfred/0000-0002-7859-1539</t>
  </si>
  <si>
    <t>10.1016/j.ufug.2021.127167</t>
  </si>
  <si>
    <t>SV3MU</t>
  </si>
  <si>
    <t>WOS:000663727400003</t>
  </si>
  <si>
    <t>Urban infrastructure with green roofs</t>
  </si>
  <si>
    <t>Qi, Y; Fang, XY; Gao, T; Qiu, L</t>
  </si>
  <si>
    <t>Qi, Ying; Fang, Xingyue; Gao, Tian; Qiu, Ling</t>
  </si>
  <si>
    <t>The Effects of Artificial Lake Space on Satisfaction and Restorativeness of the Overall Environment and Soundscape in Urban Parks</t>
  </si>
  <si>
    <t>FRONTIERS IN BUILT ENVIRONMENT</t>
  </si>
  <si>
    <t>artificial lake space; perceived restorativeness; visiting satisfaction; perceived sensory dimensions (PSDs); soundscape</t>
  </si>
  <si>
    <t>BLUE SPACE; PERCEIVED RESTORATIVENESS; GREEN; PREFERENCES; LANDSCAPE; HEALTH; WATER; PERCEPTIONS; EXPOSURE; WALKING</t>
  </si>
  <si>
    <t>Several studies have proven that soundscape in blue space is conducive to human health and well-being, but few studies have explored which blue space characteristics would contribute to a better soundscape and visiting experience. Therefore, an on-site questionnaire investigation was conducted at two artificial lakes in Xi'an, China. The eight Perceived Sensory Dimensions (PSDs) as a landscape assessment tool were applied to identify the characteristics of artificial lake space in urban parks. The results showed that (1) In artificial lake space, overall environment and soundscape reached a very satisfactory level in general, while the respondents' perceived level of overall restorativeness and soundscape restorativeness as just medium, which indicated that the quality of artificial lake space needs to be improved. (2) According to people's perceptions, artificial lake spaces had the most obvious characteristics of prospect, social and space; serene and nature were medium; refuge, rich in species, and culture were the least. (3) The eight PSDs of artificial lake space, except for social, were positively correlated with soundscape satisfaction, overall satisfaction, soundscape restorativeness, and overall restorativeness. Moreover, among them, serene was the most significant characteristic in artificial lake space. These findings could be instructive to the design of urban parks with artificial lakes for improving users' visiting satisfaction and restorativeness.</t>
  </si>
  <si>
    <t>[Qi, Ying; Fang, Xingyue; Gao, Tian; Qiu, Ling] Northwest A&amp;F Univ, Coll Landscape Architecture &amp; Arts, Dept Landscape Architecture, Yangling, Shaanxi, Peoples R China</t>
  </si>
  <si>
    <t>Northwest A&amp;F University - China</t>
  </si>
  <si>
    <t>Gao, T; Qiu, L (corresponding author), Northwest A&amp;F Univ, Coll Landscape Architecture &amp; Arts, Dept Landscape Architecture, Yangling, Shaanxi, Peoples R China.</t>
  </si>
  <si>
    <t>tian.gao@nwsuaf.edu.cn; qiu.ling@nwsuaf.edu.cn</t>
  </si>
  <si>
    <t>National Natural Science Foundation of China [31971720]; Research Fund for Advanced Talents of Northwest AF University [Z111021501]; Talent Support of Shaanxi Province [A279021715, A279021830]</t>
  </si>
  <si>
    <t>National Natural Science Foundation of China(National Natural Science Foundation of China (NSFC)); Research Fund for Advanced Talents of Northwest AF University; Talent Support of Shaanxi Province</t>
  </si>
  <si>
    <t>This research was funded by the National Natural Science Foundation of China (grant numbers: 31971720), the Research Fund for Advanced Talents of Northwest A&amp;F University (grant numbers: Z111021501), and Talent Support of Shaanxi Province (grant numbers: A279021715 and A279021830).</t>
  </si>
  <si>
    <t>2297-3362</t>
  </si>
  <si>
    <t>FRONT BUILT ENVIRON</t>
  </si>
  <si>
    <t>Front. Built Environ.</t>
  </si>
  <si>
    <t>MAY 3</t>
  </si>
  <si>
    <t>10.3389/fbuil.2021.664442</t>
  </si>
  <si>
    <t>Construction &amp; Building Technology; Engineering, Civil</t>
  </si>
  <si>
    <t>Construction &amp; Building Technology; Engineering</t>
  </si>
  <si>
    <t>SC9JV</t>
  </si>
  <si>
    <t>WOS:000650980700001</t>
  </si>
  <si>
    <t>What BS soundsacpe contribute to health and well-being</t>
  </si>
  <si>
    <t>On site questionaire</t>
  </si>
  <si>
    <t>Fletcher, DH; Likongwe, PJ; Chiotha, SS; Nduwayezu, G; Mallick, D; Md, NU; Rahman, A; Golovatina-Mora, P; Lotero, L; Bricker, S; Tsirizeni, M; Fitch, A; Panagi, M; Villena, CR; Arnhardt, C; Vande Hey, J; Gornall, R; Jones, L</t>
  </si>
  <si>
    <t>Fletcher, David H.; Likongwe, Patrick J.; Chiotha, Sosten S.; Nduwayezu, Gilbert; Mallick, Dwijen; Md, Nasir Uddin; Rahman, Atiq; Golovatina-Mora, Polina; Lotero, Laura; Bricker, Stephanie; Tsirizeni, Mathews; Fitch, Alice; Panagi, Marios; Villena, Cristina Ruiz; Arnhardt, Christian; Vande Hey, Joshua; Gornall, Richard; Jones, Laurence</t>
  </si>
  <si>
    <t>Using demand mapping to assess the benefits of urban green and blue space in cities from four continents</t>
  </si>
  <si>
    <t>Urban green and blue space; Natural capital; Ecosystem services; Urban planning; Nature-based solutions (NBS)</t>
  </si>
  <si>
    <t>LONG-TERM EXPOSURE; ECOSYSTEM SERVICES; AIR-POLLUTION; MORTALITY; HEALTH; URBANIZATION; CHALLENGES; JUSTICE; CITY; INFRASTRUCTURE</t>
  </si>
  <si>
    <t>The benefits of urban green and blue infrastructure (UGI) are widely discussed, but rarely take into account local conditions or contexts. Although assessments increasingly consider the demand for the ecosystem services that UGI provides, they tend to only map the spatial pattern of pressures such as heat, or air pollution, and lack a wider understanding of where the beneficiaries are located and who will benefit most. We assess UGI in five cities from four continents with contrasting climate, socio-political context, and size. For three example services (air pollution removal, heat mitigation, accessible greenspace), we run an assessment that takes into account spatial patterns in the socio-economic demand for ecosystem services and develops metrics that reflect local context, drawing on the principles of vulnerability assessment. Despite similar overall levels of UGI (from 35 to 50% of urban footprint), the amount of service provided differs substantially between cities. Aggregate cooling ranged from 0.44 degrees C (Leicester) to 0.98 degrees C (Medellin), while pollution removal ranged from 488 kg PM2.5/yr (Zomba) to 48,400 kg PM2.5/yr (Dhaka). Percentage population with access to nearby greenspace ranged from 82% (Dhaka) to 100% (Zomba). The spatial patterns of pressure, of ecosystem service, and of maximum benefit within a city do not necessarily match, and this has implications for planning optimum locations for UGI in cities. (c) 2021 Elsevier B.V. All rights reserved.</t>
  </si>
  <si>
    <t>[Fletcher, David H.; Fitch, Alice; Jones, Laurence] UK Ctr Ecol Hydrol, Environm Ctr Wales, Deiniol Rd, Bangor LL57 2UW, Gwynedd, Wales; [Likongwe, Patrick J.] LEAD, Environm Sci Urban Ecosyst Serv, P Bag 07, Zomba, Malawi; [Chiotha, Sosten S.; Tsirizeni, Mathews] LEAD Southern &amp; Eastern Africa Multurguzi, Fishing Flies Rd, Zomba, Malawi; [Nduwayezu, Gilbert] Univ Rwanda, Sch Engn, Coll Sci &amp; Technol, Kigali, Rwanda; [Mallick, Dwijen; Md, Nasir Uddin; Rahman, Atiq] Bangladesh Ctr Adv Studies BCAS, House 10,Rd 16A,Gulshan 1, Dhaka 1212, Bangladesh; [Golovatina-Mora, Polina] Univ Pontificia Bolivariana, Fac Social Commun Journalism, Medellin, Colombia; [Lotero, Laura] Univ Pontificia Bolivariana, Fac Ingn Ind, Medellin, Colombia; [Bricker, Stephanie; Arnhardt, Christian] British Geol Survey, Environm Sci Ctr, Nicker Hill, Nottingham NG12 5GG, England; [Panagi, Marios; Villena, Cristina Ruiz; Vande Hey, Joshua; Gornall, Richard] Univ Leicester, Univ Rd, Leicester LE1 7RH, Leics, England</t>
  </si>
  <si>
    <t>UK Centre for Ecology &amp; Hydrology (UKCEH); University of Rwanda; Universidad Pontificia Bolivariana; Universidad Pontificia Bolivariana; UK Research &amp; Innovation (UKRI); Natural Environment Research Council (NERC); NERC British Geological Survey; University of Leicester</t>
  </si>
  <si>
    <t>Fletcher, DH (corresponding author), UK Ctr Ecol Hydrol, Environm Ctr Wales, Deiniol Rd, Bangor LL57 2UW, Gwynedd, Wales.</t>
  </si>
  <si>
    <t>dfletcher@ceh.ac.uk</t>
  </si>
  <si>
    <t>Jones, Laurence/A-3900-2011; Lotero, Laura/Q-3888-2019</t>
  </si>
  <si>
    <t>Jones, Laurence/0000-0002-4379-9006; Lotero, Laura/0000-0002-6537-3276; Ruiz Villena, Cristina/0000-0003-1296-5056; Vande Hey, Joshua/0000-0001-5895-8594</t>
  </si>
  <si>
    <t>University of Leicester's QR Global Challenges Research Fund allocation (Research England); UK Natural Environment Research Council [NE/N005406/1]; EU Horizon 2020project REGREEN [821016]; NERC [NE/N005406/1] Funding Source: UKRI; H2020 Societal Challenges Programme [821016] Funding Source: H2020 Societal Challenges Programme</t>
  </si>
  <si>
    <t>University of Leicester's QR Global Challenges Research Fund allocation (Research England); UK Natural Environment Research Council(UK Research &amp; Innovation (UKRI)Natural Environment Research Council (NERC)); EU Horizon 2020project REGREEN; NERC(UK Research &amp; Innovation (UKRI)Natural Environment Research Council (NERC)); H2020 Societal Challenges Programme(Horizon 2020)</t>
  </si>
  <si>
    <t>This work was supported by the University of Leicester's QR Global Challenges Research Fund allocation (Research England); UK Natural Environment Research Council (grant no. NE/N005406/1 for Joshua D. Vande Hey). David Fletcher was supported by the EU Horizon 2020project REGREEN (Grant Agreement No. 821016).</t>
  </si>
  <si>
    <t>SEP 1</t>
  </si>
  <si>
    <t>10.1016/j.scitotenv.2021.147238</t>
  </si>
  <si>
    <t>APR 2021</t>
  </si>
  <si>
    <t>SP1TO</t>
  </si>
  <si>
    <t>Green Accepted, Green Published</t>
  </si>
  <si>
    <t>WOS:000659455600002</t>
  </si>
  <si>
    <t>White, MP; Elliott, LR; Grellier, J; Economou, T; Bell, S; Bratman, GN; Cirach, M; Gascon, M; Lima, ML; Lohmus, M; Nieuwenhuijsen, M; Ojala, A; Roiko, A; Schultz, PW; van den Bosch, M; Fleming, LE</t>
  </si>
  <si>
    <t>White, Mathew P.; Elliott, Lewis R.; Grellier, James; Economou, Theo; Bell, Simon; Bratman, Gregory N.; Cirach, Marta; Gascon, Mireia; Lima, Maria L.; Lohmus, Mare; Nieuwenhuijsen, Mark; Ojala, Ann; Roiko, Anne; Schultz, P. Wesley; van den Bosch, Matilda; Fleming, Lora E.</t>
  </si>
  <si>
    <t>Associations between green/blue spaces and mental health across 18 countries DUPLICATE</t>
  </si>
  <si>
    <t>NATURAL ENVIRONMENTS; NATURE CONNECTEDNESS; RECREATIONAL VISITS; BLUE SPACES; URBAN BLUE; EXPERIENCE; PEOPLE; ACCESSIBILITY; RESTORATION; CHILDREN</t>
  </si>
  <si>
    <t>Associations between green/blue spaces and mental health across 18 countries</t>
  </si>
  <si>
    <t>[White, Mathew P.] Univ Vienna, Cognit Sci HUB, Liebbigasse 5, A-1110 Vienna, Austria; [White, Mathew P.; Elliott, Lewis R.; Grellier, James; Fleming, Lora E.] Univ Exeter, European Ctr Environm &amp; Human Hlth, Sch Med, Exeter, Devon, England; [Grellier, James] Jagiellonian Univ, Inst Psychol, Krakow, Poland; [Economou, Theo] Univ Exeter, Coll Engn Math &amp; Phys Sci, Exeter, Devon, England; [Bell, Simon] Estonian Univ Life Sci, Tartu, Estonia; [Bratman, Gregory N.] Univ Washington, Coll Environm, Sch Environm &amp; Forest Sci, Washington, DC USA; [Cirach, Marta; Gascon, Mireia; Nieuwenhuijsen, Mark; van den Bosch, Matilda] ISGlobal, Barcelona, Spain; [Cirach, Marta; Gascon, Mireia; Nieuwenhuijsen, Mark] Univ Pompeu Fabra UPF, Barcelona, Spain; [Cirach, Marta; Gascon, Mireia; Nieuwenhuijsen, Mark] CIBER Epidemiol &amp; Salud Publ CIBERESP, Madrid, Spain; [Lima, Maria L.] ISCTE Univ Inst Lisbon, Dept Social &amp; Org Psychol, Lisbon, Portugal; [Lohmus, Mare] Karolinska Inst, Inst Environm Med, Solna, Sweden; [Ojala, Ann] Nat Resources Inst Finland Luke, Helsinki, Finland; [Roiko, Anne] Griffith Univ, Sch Med, Brisbane, Qld, Australia; [Schultz, P. Wesley] Calif State Univ San Marcos, Dept Psychol, San Marcos, TX USA; [van den Bosch, Matilda] Univ British Columbia, Sch Populat &amp; Publ Hlth, Vancouver, BC, Canada; [van den Bosch, Matilda] Univ British Columbia, Dept Forest &amp; Conservat Sci, Vancouver, BC, Canada</t>
  </si>
  <si>
    <t>University of Vienna; University of Exeter; Jagiellonian University; University of Exeter; Estonian University of Life Sciences; University of Washington; ISGlobal; Pompeu Fabra University; CIBER - Centro de Investigacion Biomedica en Red; CIBERESP; Instituto Universitario de Lisboa; Karolinska Institutet; Natural Resources Institute Finland (Luke); Griffith University; California State University System; California State University San Marcos; University of British Columbia; University of British Columbia</t>
  </si>
  <si>
    <t>White, MP (corresponding author), Univ Vienna, Cognit Sci HUB, Liebbigasse 5, A-1110 Vienna, Austria.;White, MP (corresponding author), Univ Exeter, European Ctr Environm &amp; Human Hlth, Sch Med, Exeter, Devon, England.</t>
  </si>
  <si>
    <t>mathew.white@univie.ac.at</t>
  </si>
  <si>
    <t>Roiko, Anne/AAU-3221-2021; White, Mathew P/AAZ-4113-2021; van den Bosch, Matilda/F-1550-2013</t>
  </si>
  <si>
    <t>Roiko, Anne/0000-0003-0395-307X; White, Mathew Philip/0000-0002-4168-7289; Ojala, Ann/0000-0002-8557-8842; van den Bosch, Matilda/0000-0003-1410-0099</t>
  </si>
  <si>
    <t>European Union's Horizon 2020 research and innovation programme [666773]; Center for Conservation Biology, Stanford University; Faculty of Forestry, University of British Columbia; Natural Resources Institute Finland (Luke); Griffith University; University of the Sunshine Coast; ISCTE-University Institute of Lisbon; Environmental Protection Agency, Ireland; internal University of Exeter-Chinese University of Hong Kong international collaboration fund</t>
  </si>
  <si>
    <t>European Union's Horizon 2020 research and innovation programme(Horizon 2020); Center for Conservation Biology, Stanford University; Faculty of Forestry, University of British Columbia; Natural Resources Institute Finland (Luke); Griffith University(Griffith University); University of the Sunshine Coast; ISCTE-University Institute of Lisbon; Environmental Protection Agency, Ireland(Environmental Protection Agency Ireland (EPA)); internal University of Exeter-Chinese University of Hong Kong international collaboration fund</t>
  </si>
  <si>
    <t>This project has received funding from the European Union's Horizon 2020 research and innovation programme under grant agreement No 666773 (BlueHealth). Data collection in California was supported by the Center for Conservation Biology, Stanford University. Data collection in Canada was supported by the Faculty of Forestry, University of British Columbia. Data collection in Finland was supported by the Natural Resources Institute Finland (Luke). Data collection in Australia was supported by Griffith University and the University of the Sunshine Coast. Data collection in Portugal was supported by ISCTE-University Institute of Lisbon. Data collection in Ireland was supported by the Environmental Protection Agency, Ireland. Data collection in Hong Kong was supported by an internal University of Exeter-Chinese University of Hong Kong international collaboration fund. The funders had no role in the conceptualisation, design, analysis, decision to publish or preparation of the manuscript.</t>
  </si>
  <si>
    <t>APR 26</t>
  </si>
  <si>
    <t>10.1038/s41598-021-87675-0</t>
  </si>
  <si>
    <t>RX3QV</t>
  </si>
  <si>
    <t>WOS:000647142600022</t>
  </si>
  <si>
    <t>Questionaire to explore multiple measures of health</t>
  </si>
  <si>
    <t>Multi-Country</t>
  </si>
  <si>
    <t>Liu, HX; Ren, H; Remme, RP; Nong, HF; Sui, CH</t>
  </si>
  <si>
    <t>Liu, Hongxiao; Ren, Hai; Remme, Roy P.; Nong, Huifu; Sui, Chunhua</t>
  </si>
  <si>
    <t>The effect of urban nature exposure on mental health-a case study of Guangzhou</t>
  </si>
  <si>
    <t>JOURNAL OF CLEANER PRODUCTION</t>
  </si>
  <si>
    <t>Greenspace; Subjective well-being; Blue space; Mental health; Built environment; Public health</t>
  </si>
  <si>
    <t>LONG-TERM EXPOSURE; GREEN-SPACE; BLUE SPACES; PHYSICAL-ACTIVITY; DEPRESSIVE SYMPTOMS; RESIDENTIAL GREEN; NATURE EXPERIENCE; ENVIRONMENTS; POPULATION; BENEFITS</t>
  </si>
  <si>
    <t>There is considerable evidence concerning the salutary effects of nature on mental health in developed countries. However, these benefits are less examined and recognized in Chinese cities where 11%-15% of the population are facing increasing mental health issues. To provide more comprehensive evidence concerning nature's benefits on multiple components of mental health in Chinese cities, we address two poorly resolved questions: i) does exposure to urban park and blue space have equivalent associations with multiple components of mental health? ii) do these associations vary across gender and socioeconomic groups? We conducted two waves of cross-sectional surveys in Guangzhou and investigated 1,274 respondents' (933 from online survey and 341 from face-to-face survey) depression risk and four aspects of subjective well-being (SWB) including life satisfaction, worthwhileness, happy yesterday, and anxious yesterday. The results suggest that both park and blue space exposure mitigate depression risk and negative affect well-being, however their associations vary with evaluative, eudemonic, and positive affect well-being. Achieving SWB across all its components needs access to both park and blue space. One-hectare increase in accessible water is associated with an improvement up to 0.45% anxious yesterday scores indicating blue space a potential public health resource. We observed a clear gender and socioeconomic differences: nearby nature has stronger protective effects for female, lower educated and low-to-median income population groups than their counterpart. Although the heterogeneities need to be confirmed in other urban settings, our findings suggest that effective actions need to consider gender-and socioeconomic differences to target potential beneficiaries and maximize the returns of investments and policy interventions. (c) 2021 Elsevier Ltd. All rights reserved.</t>
  </si>
  <si>
    <t>[Liu, Hongxiao; Ren, Hai] Chinese Acad Sci, CAS Engn Lab Vegetat Ecosystem Restorat Islands &amp;, South China Bot Garden, Guangzhou 510650, Peoples R China; [Liu, Hongxiao] Southern Marine Sci &amp; Engn Guangdong Lab Guangzho, Guangzhou 511458, Peoples R China; [Remme, Roy P.] Leiden Univ, Inst Environm Sci CML, Einsteinweg 2, NL-2333 CC Leiden, Netherlands; [Remme, Roy P.] Stanford Univ, Dept Biol &amp; Woods, Nat Capital Project, Inst Environm, Stanford, CA 94305 USA; [Nong, Huifu] Guangdong Univ Finance, Sch Finance &amp; Investment, Guangzhou 510521, Peoples R China; [Nong, Huifu] Sun Yat Sen Univ, Dept Econ, Guangzhou 510275, Peoples R China; [Sui, Chunhua] Shaoguan Univ, Tourism Dept, Shaoguan 512005, Peoples R China</t>
  </si>
  <si>
    <t>Chinese Academy of Sciences; South China Botanical Garden, CAS; Hong Kong Branch of the Southern Marine Science &amp; Engineering Guangdong Laboratory (Guangzhou); Leiden University; Leiden University - Excl LUMC; Stanford University; Guangdong University of Finance; Sun Yat Sen University; Shaoguan University</t>
  </si>
  <si>
    <t>Nong, HF (corresponding author), Guangdong Univ Finance, 527 Yingfu Rd, Guangzhou 510521, Peoples R China.</t>
  </si>
  <si>
    <t>liuhx@scbg.ac.cn; renhai@scbg.ac.cn; r.p.remme@cml.leidenuniv.nl; nonghf3@mail.sysu.edu.cn; 916942159@qq.com</t>
  </si>
  <si>
    <t>liu, hongxiao/ABI-1862-2020; Remme, Roy/O-3357-2019</t>
  </si>
  <si>
    <t>Remme, Roy/0000-0002-0799-2319</t>
  </si>
  <si>
    <t>National Science Foundation for Young Scientists of China [41801224]; Science and Technology Plan Project of Guangzhou [201904010159]; Key Special Project for Introduced Talents Team of Southern Marine Science and Engineering Guangdong Laboratory (Guangzhou) [GML2019ZD0408]; Science Foundation of Guangdong Province, General Project [2018A0303130077]; Key Research and Development Program of Guangdong Province [2020B1111530004]</t>
  </si>
  <si>
    <t>National Science Foundation for Young Scientists of China; Science and Technology Plan Project of Guangzhou; Key Special Project for Introduced Talents Team of Southern Marine Science and Engineering Guangdong Laboratory (Guangzhou); Science Foundation of Guangdong Province, General Project; Key Research and Development Program of Guangdong Province</t>
  </si>
  <si>
    <t>This research was supported by the National Science Foundation for Young Scientists of China (Project No.41801224); Science and Technology Plan Project of Guangzhou (Project No. 201904010159); Key Special Project for Introduced Talents Team of Southern Marine Science and Engineering Guangdong Laboratory (Guangzhou) (Project No. GML2019ZD0408); Science Foundation of Guangdong Province, General Project (Project No. 2018A0303130077); Key Research and Development Program of Guangdong Province (Project No. 2020B1111530004). We especially thank Prof. Hongfang Lu on her very valuable suggestions in the revision process.</t>
  </si>
  <si>
    <t>0959-6526</t>
  </si>
  <si>
    <t>1879-1786</t>
  </si>
  <si>
    <t>J CLEAN PROD</t>
  </si>
  <si>
    <t>J. Clean Prod.</t>
  </si>
  <si>
    <t>JUL 1</t>
  </si>
  <si>
    <t>10.1016/j.jclepro.2021.127100</t>
  </si>
  <si>
    <t>Green &amp; Sustainable Science &amp; Technology; Engineering, Environmental; Environmental Sciences</t>
  </si>
  <si>
    <t>Science &amp; Technology - Other Topics; Engineering; Environmental Sciences &amp; Ecology</t>
  </si>
  <si>
    <t>SJ7BA</t>
  </si>
  <si>
    <t>Green Published, Bronze</t>
  </si>
  <si>
    <t>WOS:000655684600006</t>
  </si>
  <si>
    <t>Does BGS exposure effect componenets of mental health and what other confounding factors can influence it (age, socioeconomic)</t>
  </si>
  <si>
    <t>Online and in person qustionaire</t>
  </si>
  <si>
    <t>Marek, L; Hobbs, M; Wiki, J; Kingham, S; Campbell, M</t>
  </si>
  <si>
    <t>Marek, Lukas; Hobbs, Matthew; Wiki, Jesse; Kingham, Simon; Campbell, Malcolm</t>
  </si>
  <si>
    <t>The good, the bad, and the environment: developing an area-based measure of access to health-promoting and health-constraining environments in New Zealand</t>
  </si>
  <si>
    <t>INTERNATIONAL JOURNAL OF HEALTH GEOGRAPHICS</t>
  </si>
  <si>
    <t>Accessibility; Built environment; Food environment; GIS; Health; Healthy cities; Natural environment</t>
  </si>
  <si>
    <t>FAST-FOOD RESTAURANTS; BODY-MASS INDEX; PHYSICAL-ACTIVITY; VIOLENT CRIME; GEOGRAPHICAL INEQUALITIES; NEIGHBORHOOD FOOD; CHILDHOOD OBESITY; BUILT ENVIRONMENT; EXPOSURE MEASURES; OUTLET EXPOSURE</t>
  </si>
  <si>
    <t>Background: Accounting for the co-occurrence of multiple environmental influences is a more accurate reflection of population exposure than considering isolated influences, aiding in understanding the complex interactions between environments, behaviour and health. This study examines how environmental 'goods' such as green spaces and environmental 'bads' such as alcohol outlets co-occur to develop a nationwide area-level healthy location index (HLI) for New Zealand. Methods: Nationwide data were collected, processed, and geocoded on a comprehensive range of environmental exposures. Health-constraining 'bads' were represented by: (i) fast-food outlets, (ii) takeaway outlets, (iii) dairy outlets and convenience stores, (iv) alcohol outlets, (v) and gaming venues. Health-promoting 'goods' were represented by: (i) green spaces, (ii) blue spaces, (iii) physical activity facilities, (iv) fruit and vegetable outlets, and (v) supermarkets. The HLI was developed based on ranked access to environmental domains. The HLI was then used to investigate socio-spatial patterning by area-level deprivation and rural/urban classification. Results: Results showed environmental 'goods' and 'bads' co-occurred together and were patterned by area-level deprivation. The novel HLI shows that the most deprived areas of New Zealand often have the most environmental 'bads' and less access to environmental 'goods'. Conclusions: The index, that is now publicly available, is able to capture both inter-regional and local variations in accessibility to health-promoting and health-constraining environments and their combination. Results in this study further reinforce the need to embrace the multidimensional nature of neighbourhood and place not only when designing health-promoting places, but also when studying the effect of existing built environments on population health.</t>
  </si>
  <si>
    <t>[Marek, Lukas; Hobbs, Matthew; Wiki, Jesse; Kingham, Simon; Campbell, Malcolm] Univ Canterbury, Geospatial Res Inst, GeoHlth Lab, Christchurch, New Zealand; [Hobbs, Matthew] Univ Canterbury, Sch Hlth Sci, Christchurch, New Zealand; [Kingham, Simon; Campbell, Malcolm] Univ Canterbury, Sch Earth &amp; Environm, Christchurch, New Zealand</t>
  </si>
  <si>
    <t>University of Canterbury; University of Canterbury; University of Canterbury</t>
  </si>
  <si>
    <t>Marek, L (corresponding author), Univ Canterbury, Geospatial Res Inst, GeoHlth Lab, Christchurch, New Zealand.</t>
  </si>
  <si>
    <t>lukas.marek@canterbury.ac.nz</t>
  </si>
  <si>
    <t>Campbell, Malcolm/GPX-9892-2022; Marek, Lukas/S-7291-2017</t>
  </si>
  <si>
    <t>Campbell, Malcolm/0000-0001-7975-4662; Marek, Lukas/0000-0001-5473-8930; Kingham, Simon/0000-0002-2869-3756; /0000-0001-8398-7485</t>
  </si>
  <si>
    <t>New Zealand Ministry of Health</t>
  </si>
  <si>
    <t>The GeoHealth Laboratory is funded by the New Zealand Ministry of Health.</t>
  </si>
  <si>
    <t>BMC</t>
  </si>
  <si>
    <t>CAMPUS, 4 CRINAN ST, LONDON N1 9XW, ENGLAND</t>
  </si>
  <si>
    <t>1476-072X</t>
  </si>
  <si>
    <t>INT J HEALTH GEOGR</t>
  </si>
  <si>
    <t>Int. J. Health Geogr.</t>
  </si>
  <si>
    <t>APR 6</t>
  </si>
  <si>
    <t>10.1186/s12942-021-00269-x</t>
  </si>
  <si>
    <t>RJ3NP</t>
  </si>
  <si>
    <t>WOS:000637505000001</t>
  </si>
  <si>
    <t xml:space="preserve">How the pattern of environmental bads and goods coincide with deprivtion. </t>
  </si>
  <si>
    <t>concentration of envrionmental bads with deprivation</t>
  </si>
  <si>
    <t>cross-section (longitudinal dataset)?</t>
  </si>
  <si>
    <t>New Zealand</t>
  </si>
  <si>
    <t>Dushkova, D; Ignatieva, M; Hughes, M; Konstantinova, A; Vasenev, V; Dovletyarova, E</t>
  </si>
  <si>
    <t>Dushkova, Diana; Ignatieva, Maria; Hughes, Michael; Konstantinova, Anastasia; Vasenev, Viacheslav; Dovletyarova, Elvira</t>
  </si>
  <si>
    <t>Human Dimensions of Urban Blue and Green Infrastructure during a Pandemic. Case Study of Moscow (Russia) and Perth (Australia)</t>
  </si>
  <si>
    <t>urban green space; blue space; blue-green infrastructure; citizen perceptions; green use practices; COVID-19 pandemic; Moscow; Perth</t>
  </si>
  <si>
    <t>SPACE; PERCEPTIONS; CITIES; PARK</t>
  </si>
  <si>
    <t>Significant challenges of the COVID-19 pandemic highlighted that features of a modern, sustainable and resilient city should not only relate to fulfilling economic and social urban strategies, but also to functional urban design, in particular, related to urban blue and green infrastructure (BGI). Using results from a web-based questionnaire survey conducted May-July 2020 in Moscow (Russia) and Perth (Australia), this paper provides insights regarding citizens' needs for and values of urban BGI as well as their changes during and after the COVID-19 restrictions. Survey data collected during the lockdown period have captured information about people's ability to access green and blue spaces within urban BGI, inequalities in access, feelings, and values as well as needs and perceived pathways of future development of urban natural environment. In both cities, lockdowns limited access of people to green spaces which affected their mental and physical health. Survey results revealed that the quality, functionality, and location of open green spaces illustrated a disparity in distribution, meaning that in many cases several communities from particular neighborhoods suffered from limited access to BGI. Furthermore, in addition to analyzing perceptions and values of urban nature during the COVID-19 pandemic, some suggestions for improvement of urban BGI based on the survey responses are provided.</t>
  </si>
  <si>
    <t>[Dushkova, Diana] UFZ Helmholtz Ctr Environm Res, Dept Urban &amp; Environm Sociol, D-04318 Leipzig, Germany; [Dushkova, Diana; Konstantinova, Anastasia; Vasenev, Viacheslav; Dovletyarova, Elvira] Peoples Friendship Univ Russia RUDN, Agr &amp; Technol Inst, Moscow 117198, Russia; [Ignatieva, Maria] Univ Western Australia UWA, Sch Design, Perth, WA 6009, Australia; [Hughes, Michael] Murdoch Univ MU, Harry Butler Inst, Murdoch, WA 6150, Australia; [Vasenev, Viacheslav] Wageningen Univ &amp; Res Ctr WUR, Dept Soil Geog &amp; Landscape, NL-6708 PB Wageningen, Netherlands</t>
  </si>
  <si>
    <t>Helmholtz Association; Helmholtz Center for Environmental Research (UFZ); University of Western Australia; Murdoch University; Wageningen University &amp; Research</t>
  </si>
  <si>
    <t>Dushkova, D (corresponding author), UFZ Helmholtz Ctr Environm Res, Dept Urban &amp; Environm Sociol, D-04318 Leipzig, Germany.;Dushkova, D (corresponding author), Peoples Friendship Univ Russia RUDN, Agr &amp; Technol Inst, Moscow 117198, Russia.</t>
  </si>
  <si>
    <t>diana.dushkova@ufz.de; maria.ignatieva@uwa.edu.au; m.hughes@murdoch.edu.au; konstantinova-av@rudn.ru; vasenev-vi@rudn.ru; dovletyarova-ea@rudn.ru</t>
  </si>
  <si>
    <t>Vasenev, Viacheslav I/N-8451-2016; Dushkova, Diana/L-9707-2015; Konstantinova, Anastasia/AAX-3978-2020</t>
  </si>
  <si>
    <t>Vasenev, Viacheslav I/0000-0003-0286-3021; Dushkova, Diana/0000-0001-9651-0715; Konstantinova, Anastasia/0000-0003-3429-7108; Dovletyarova, Elvira/0000-0003-4296-9015; ignatieva, maria/0000-0002-5273-1644; Hughes, Michael/0000-0002-9810-1891</t>
  </si>
  <si>
    <t>European Union [730222]; German Academic Exchange Service (DAAD East-partnership); Russian Science Foundation [19-77-30012]; RUDN University Strategic Academic Leadership Program; Russian Science Foundation [19-77-30012] Funding Source: Russian Science Foundation; H2020 Societal Challenges Programme [730222] Funding Source: H2020 Societal Challenges Programme</t>
  </si>
  <si>
    <t>European Union(European Union (EU)); German Academic Exchange Service (DAAD East-partnership)(Deutscher Akademischer Austausch Dienst (DAAD)); Russian Science Foundation(Russian Science Foundation (RSF)); RUDN University Strategic Academic Leadership Program; Russian Science Foundation(Russian Science Foundation (RSF)); H2020 Societal Challenges Programme(Horizon 2020)</t>
  </si>
  <si>
    <t>The research was supported in part by the Horizon 2020 Framework Programme of the European Union, research and innovation project CONNECTING Nature-COproductioN with NaturE for City Transitioning, Innovation and Governance (Grant Agreement No 730222) and by the German Academic Exchange Service (DAAD East-partnership) within the project on Urban ecosystem services and their assessment: exchange of experiences between Germany and Russia (2018-2021). The social survey in Moscow was supported by the Russian Science Foundation project No19-77-30012. Spatial analysis, mapping and paper preparation was supported by the RUDN University Strategic Academic Leadership Program.</t>
  </si>
  <si>
    <t>10.3390/su13084148</t>
  </si>
  <si>
    <t>RU7YC</t>
  </si>
  <si>
    <t>Green Published, Green Submitted, gold</t>
  </si>
  <si>
    <t>WOS:000645358000001</t>
  </si>
  <si>
    <t>Citizens values and needs of BGI before and after covid</t>
  </si>
  <si>
    <t>questionaire online</t>
  </si>
  <si>
    <t>longitudinal</t>
  </si>
  <si>
    <t>Russia and Australia</t>
  </si>
  <si>
    <t>Pelgrims, I; Devleesschauwer, B; Guyot, M; Keune, H; Nawrot, TS; Remmen, R; Saenen, ND; Trabelsi, S; Thomas, I; Aerts, R; De Clercq, EM</t>
  </si>
  <si>
    <t>Pelgrims, Ingrid; Devleesschauwer, Brecht; Guyot, Madeleine; Keune, Hans; Nawrot, Tim S.; Remmen, Roy; Saenen, Nelly D.; Trabelsi, Sonia; Thomas, Isabelle; Aerts, Raf; De Clercq, Eva M.</t>
  </si>
  <si>
    <t>Association between urban environment and mental health in Brussels, Belgium</t>
  </si>
  <si>
    <t>BMC PUBLIC HEALTH</t>
  </si>
  <si>
    <t>Environmental epidemiology; Air pollution; Green space; Noise; Building morphology; Mental health</t>
  </si>
  <si>
    <t>AMBIENT AIR-POLLUTION; LONG-TERM EXPOSURE; GREEN SPACE; BLUE SPACES; RESIDENTIAL GREEN; PHYSICAL-ACTIVITY; NOISE GUIDELINES; EUROPEAN REGION; TRAFFIC NOISE; STREET VIEW</t>
  </si>
  <si>
    <t>BackgroundMental health disorders appear as a growing problem in urban areas. While common mental health disorders are generally linked to demographic and socioeconomic factors, little is known about the interaction with the urban environment. With growing urbanization, more and more people are exposed to environmental stressors potentially contributing to increased stress and impairing mental health. It is therefore important to identify features of the urban environment that affect the mental health of city dwellers. The aim of this study was to define associations of combined long-term exposure to air pollution, noise, surrounding green at different scales, and building morphology with several dimensions of mental health in Brussels.MethodsResearch focuses on the inhabitants of the Brussels Capital Region older than 15years. The epidemiological study was carried out based on the linkage of data from the national health interview surveys (2008 and 2013) and specifically developed indicators describing each participant's surroundings in terms of air quality, noise, surrounding green, and building morphology. These data are based on the geographical coordinates of the participant's residence and processed using Geographical Information Systems (GIS). Mental health status was approached through several validated indicators: the Symptom Checklist-90-R subscales for depressive, anxiety and sleeping disorders and the 12-Item General Health Questionnaire for general well-being. For each mental health outcome, single and multi-exposure models were performed through multivariate logistic regressions.ResultsOur results suggest that traffic-related air pollution (black carbon, NO2, PM10) exposure was positively associated with higher odds of depressive disorders. No association between green surrounding, noise, building morphology and mental health could be demonstrated.ConclusionsThese findings have important implications because most of the Brussel's population resides in areas where particulate matters concentrations are above the World Health Organization guidelines. This suggests that policies aiming to reduce traffic related-air pollution could also reduce the burden of depressive disorders in Brussels.</t>
  </si>
  <si>
    <t>[Pelgrims, Ingrid; Aerts, Raf; De Clercq, Eva M.] Sciensano, Risk &amp; Hlth Impact Assessment, Rue Juliette Wytsman 14, BE-1050 Brussels, Belgium; [Pelgrims, Ingrid] Univ Ghent, Appl Math Comp Sci &amp; Stat, Krijgslaan 281, BE-9000 Ghent, Belgium; [Pelgrims, Ingrid; Devleesschauwer, Brecht] Sciensano, Epidemiol &amp; Publ Hlth, Rue Juliette Wytsman 14, BE-1050 Brussels, Belgium; [Devleesschauwer, Brecht] Univ Ghent, Dept Vet Publ Hlth &amp; Food Safety, Salisburylaan 133, BE-9820 Merelbeke, Belgium; [Guyot, Madeleine; Trabelsi, Sonia; Thomas, Isabelle] UCLouvain, Louvain Inst Data Anal &amp; Modelling Econ &amp; Stat, 34 Bte L1-03-01, BE-1348 Louvain La Neuve, Belgium; [Keune, Hans] Vlaams Administratief Ctr Herman Teirlinckgebouw, Nat &amp; Soc, Own Capital Res Inst Nat &amp; Forest EV INBO, Havenlaan 88 Bus 73, BE-1000 Brussels, Belgium; [Keune, Hans; Remmen, Roy] Univ Antwerp, Ctr Gen Practice, Doornstr 331, BE-2610 Antwerp, Belgium; [Nawrot, Tim S.; Saenen, Nelly D.; Aerts, Raf] Univ Hasselt, Ctr Environm Sci, Agoralaan D, BE-3590 Hasselt, Belgium; [Nawrot, Tim S.] Univ Leuven, Ctr Environm &amp; Sci, Dept Publ Hlth &amp; Primary Care, KU Leuven, Herestr 49-706, BE-3000 Leuven, Belgium; [Thomas, Isabelle] FNRS, Fund Sci Res, Brussels, Belgium; [Aerts, Raf] Univ Leuven, Div Ecol Evolut &amp; Biodivers Conservat, KU Leuven, Kasteelpk Arenberg 31-2435, BE-3001 Leuven, Belgium</t>
  </si>
  <si>
    <t>Sciensano; Ghent University; Sciensano; Ghent University; Universite Catholique Louvain; University of Antwerp; Hasselt University; KU Leuven; Fonds de la Recherche Scientifique - FNRS; KU Leuven</t>
  </si>
  <si>
    <t>Pelgrims, I (corresponding author), Sciensano, Risk &amp; Hlth Impact Assessment, Rue Juliette Wytsman 14, BE-1050 Brussels, Belgium.;Pelgrims, I (corresponding author), Univ Ghent, Appl Math Comp Sci &amp; Stat, Krijgslaan 281, BE-9000 Ghent, Belgium.;Pelgrims, I (corresponding author), Sciensano, Epidemiol &amp; Publ Hlth, Rue Juliette Wytsman 14, BE-1050 Brussels, Belgium.</t>
  </si>
  <si>
    <t>Ingrid.pelgrims@sciensano.be</t>
  </si>
  <si>
    <t>Aerts, Raf/A-7602-2008; Devleesschauwer, Brecht/G-9895-2018</t>
  </si>
  <si>
    <t>Aerts, Raf/0000-0003-4018-0790; Devleesschauwer, Brecht/0000-0002-2867-6892; De Clercq, Eva/0000-0002-0578-9771; Nawrot, Tim/0000-0002-3583-3593; Keune, Hans/0000-0002-1531-944X</t>
  </si>
  <si>
    <t>Belgian Science Policy Office BELSPO [BR/175/A3/NAMED]</t>
  </si>
  <si>
    <t>Belgian Science Policy Office BELSPO(Belgian Federal Science Policy Office)</t>
  </si>
  <si>
    <t>The NAMED study has been supported by a project grant from the Belgian Science Policy Office BELSPO (grant nr. BR/175/A3/NAMED).</t>
  </si>
  <si>
    <t>1471-2458</t>
  </si>
  <si>
    <t>BMC Public Health</t>
  </si>
  <si>
    <t>APR 1</t>
  </si>
  <si>
    <t>10.1186/s12889-021-10557-7</t>
  </si>
  <si>
    <t>RI2YX</t>
  </si>
  <si>
    <t>WOS:000636776100003</t>
  </si>
  <si>
    <t>How environmental factors including noise and air pollution impact health</t>
  </si>
  <si>
    <t>Questionaires with scales for detecting mental health disorders</t>
  </si>
  <si>
    <t>Baro, F; Camacho, DA; Del Pulgar, CP; Triguero-Mas, M; Anguelovski, I</t>
  </si>
  <si>
    <t>Baro, Francesc; Camacho, David A.; Perez Del Pulgar, Carmen; Triguero-Mas, Margarita; Anguelovski, Isabelle</t>
  </si>
  <si>
    <t>School greening: Right or privilege? Examining urban nature within and around primary schools through an equity lens</t>
  </si>
  <si>
    <t>Ecosystem services; Geospatial analysis; Urban environmental justice; Urban green space; Children's geographies</t>
  </si>
  <si>
    <t>A mounting body of research shows strong positive associations between urban nature and child well-being, including benefits related to mental and physical health. However, there is also evidence that children are spending less time in natural environments than previous generations, especially those living in deprived neighborhoods. To date, most studies analyzing children's (unequal) exposure or access to urban green and blue spaces focus on residential metrics while a school-based perspective, also an essential part of children's daily experience, is still understudied. The overall goal of this research is to assess spatially the amount and main components of green infrastructure within and around a sample of primary schools (n = 324) in the city of Barcelona, Spain, and to examine the equity implications of its distributional patterns. A multi-method approach based on GIS, correlation and cluster analyses, and an online survey, is used to identify these patterns of inequity according to three main dimensions: socio-demographic disparities across neighborhoods; school type (public, charter and private); and the frequency of outdoor educational activities organized by schools. Results show that schools located in the wealthiest neighborhoods are generally greener, but inequities are not observed for school surrounding green infrastructure indicators such as access to public green spaces or between public and charter schools. Survey results also indicate that greener schools generally organize more nature-based outdoor activities than those with less exposure to urban nature. In the light of these findings, we contend that multiple indicators of green infrastructure and different dimensions of equity should be considered to improve justice in the implementation of school-based re-naturing and outdoor educational programs.</t>
  </si>
  <si>
    <t>[Baro, Francesc; Camacho, David A.; Perez Del Pulgar, Carmen; Triguero-Mas, Margarita; Anguelovski, Isabelle] Univ Autonoma Barcelona UAB, Inst Environm Sci &amp; Technol ICTA, Edif Z ICTA ICP,Carrer Columns S-N, Cerdanyola Del Valles 08193, Spain; [Baro, Francesc; Perez Del Pulgar, Carmen; Triguero-Mas, Margarita; Anguelovski, Isabelle] Hosp Mar Med Res Inst IMIM, Carrer Doctor Aiguader 88, Barcelona 08003, Spain; [Baro, Francesc; Camacho, David A.; Perez Del Pulgar, Carmen; Triguero-Mas, Margarita; Anguelovski, Isabelle] Barcelona Lab Urban Environm Justice &amp; Sustainabi, Carrer Doctor Aiguader 88, Barcelona 08003, Spain; [Baro, Francesc] Vrije Univ Brussel VUB, Dept Geog, Pl Laan 2, B-1050 Brussels, Belgium; [Baro, Francesc] Vrije Univ Brussel VUB, Dept Sociol, Pl Laan 2, B-1050 Brussels, Belgium; [Anguelovski, Isabelle] Inst Catalana Recerca &amp; Estudis Avancats ICREA, Passeig Lluis Co 23, Barcelona 08010, Spain</t>
  </si>
  <si>
    <t>Autonomous University of Barcelona; Institut Hospital del Mar d'Investigacions Mediques (IMIM); Hospital del Mar; Vrije Universiteit Brussel; Vrije Universiteit Brussel; ICREA</t>
  </si>
  <si>
    <t>Baro, F (corresponding author), Univ Autonoma Barcelona UAB, Inst Environm Sci &amp; Technol ICTA, Edif Z ICTA ICP,Carrer Columns S-N, Cerdanyola Del Valles 08193, Spain.</t>
  </si>
  <si>
    <t>francesc.baro@uab.cat</t>
  </si>
  <si>
    <t>Perez-del-Pulgar, Carmen/AFI-2603-2022; Baró, Francesc/C-1564-2019; Triguero-Mas, Margarita/G-1131-2015</t>
  </si>
  <si>
    <t>Perez-del-Pulgar, Carmen/0000-0001-8331-2365; Baró, Francesc/0000-0002-0145-6320; Triguero-Mas, Margarita/0000-0002-1580-2693; Camacho Caballero, David Alejandro/0000-0002-7844-5339</t>
  </si>
  <si>
    <t>LASEG research group through the AGAUR [2017SGR0775]; Spanish Ministry of Science, Innovation and Universities through the 2015-2016 BiodivERsA COFUND (project ENABLE) [PCIN-2016-002]; European Research Council (project GREENLULUs) [678034]; EU [730243]; Juan de la Cierva fellowships - Spanish Ministry of Science, Innovation and Universities [FJCI-2017-33842]; Spanish Ministry of Science and Innovation [CEX2019-000940-M]; European Research Council (ERC) [678034] Funding Source: European Research Council (ERC)</t>
  </si>
  <si>
    <t>LASEG research group through the AGAUR; Spanish Ministry of Science, Innovation and Universities through the 2015-2016 BiodivERsA COFUND (project ENABLE); European Research Council (project GREENLULUs)(European Research Council (ERC)); EU(European Union (EU)); Juan de la Cierva fellowships - Spanish Ministry of Science, Innovation and Universities; Spanish Ministry of Science and Innovation(Spanish Government); European Research Council (ERC)(European Research Council (ERC)Spanish Government)</t>
  </si>
  <si>
    <t>We thank our colleagues from BCNUEJ, James Connolly, Helen Cole, Melissa Garcia-Lamarca and Galia Shokry for their valuable comments on an early version of the manuscript. We are also grateful to all the schools who answered the online survey. Authors acknowledge financial support from: the LASEG research group through the AGAUR grant 2017SGR0775; the Spanish Ministry of Science, Innovation and Universities through the 2015-2016 BiodivERsA COFUND (project ENABLE, code PCIN-2016-002); the European Research Council (project GREENLULUs; grant agreement ID: 678034); and the EU's Horizon 2020 framework program for research and innovation (project NATURVATION, grant agreement ID: 730243). MTM is funded by Juan de la Cierva fellowships [FJCI-2017-33842] awarded by the Spanish Ministry of Science, Innovation and Universities. This work also contributes to the Maria de Maeztu Programme for Units of Excellence of the Spanish Ministry of Science and Innovation (CEX2019-000940-M). Finally, we also appreciate the work of three anonymous reviewers for their valuable comments and suggestions to the original version of the manuscript.</t>
  </si>
  <si>
    <t>10.1016/j.landurbplan.2020.104019</t>
  </si>
  <si>
    <t>QB6KS</t>
  </si>
  <si>
    <t>WOS:000614249100002</t>
  </si>
  <si>
    <t>Equity analysis of green space around schools</t>
  </si>
  <si>
    <t>Onliine survey</t>
  </si>
  <si>
    <t>Astell-Burt, T; Feng, XQ</t>
  </si>
  <si>
    <t>Astell-Burt, Thomas; Feng, Xiaoqi</t>
  </si>
  <si>
    <t>Time for 'Green' during COVID-19? Inequities in Green and Blue Space Access, Visitation and Felt Benefits</t>
  </si>
  <si>
    <t>COVID-19; nature; green space; blue space; accessibility; visitation; preferences; exercise; solace; connection; discovery; lockdown; working from home; remote work; financial difficulty</t>
  </si>
  <si>
    <t>MENTAL-HEALTH; QUANTITY; QUALITY</t>
  </si>
  <si>
    <t>We hypothesized that visits to green and blue spaces may have enabled respite, connection and exercise during the COVID-19 pandemic, but such benefits might have been inequitably distributed due to differences in financial difficulties, opportunities to work from home, and localized restrictions in spatial mobility generated by 'lockdowns'. A nationally representative online and telephone survey conducted in 12-26 October on the Social Research Centre's Life in Australia(TM) panel (aged &gt;= 18 y, 78.8% response, N = 3043) asked about access, visitation, and felt benefits from green and/or blue spaces. Increasing financial difficulty was associated with less time in and fewer visits to green and/or blue spaces, as well as fewer different types visited. Financial difficulty was also associated with feelings that visits to green and/or blue space had less benefit for maintaining social connection. Working from home was associated with more frequent and longer visitation to green and/or blue spaces, as well as discovery of ones previously unvisited. Working from home was also associated with increased levels of exercise and respite resulting from visits to green and/or blue spaces. Residents of Melbourne, a city of 4.9 million who were in 'lockdown' at the time of the survey, appeared more likely to benefit from visits to green and/or blue spaces than residents of Sydney, Australia's largest city at 5.2 million, who were not in lockdown. Residents of Melbourne compared with Sydney reported consistently increased visitation of, discovery of, and greater levels of various felt benefits derived from green and/or blue spaces, including more respite, connection, and exercise. Comparatively shorter distances to preferred green and/or blue spaces and closure of alternative settings at the time of the survey completion in Melbourne compared with Sydney may provide partial explanation, though more acute responses to experiencing green and/or blue spaces within highly cognitively demanding antecedent conditions posed by lockdown are also plausible and warrant further investigation with other health indicators. These results were robust to adjustment for a range of covariates including preferences for natural settings, which were consistently associated with greater levels of green and/or blue space visitation and felt benefits. Collectively, these results indicate that parallel efforts to generate (or renew) felt connection to natural settings, to increase working from home opportunities, and to mitigate financial difficulties may be important to help maximize the population health benefits of urban planning strategies intended to improve the availability of, and to reduce inequities in access to, green and blue spaces. Benefits felt more commonly by people living through lockdown underlines the role previous investments in green and blue space have played in enabling coping during the COVID-19 pandemic.</t>
  </si>
  <si>
    <t>[Astell-Burt, Thomas; Feng, Xiaoqi] Univ Wollongong, Sch Hlth &amp; Soc, Fac Arts Social Sci &amp; Humanities, Populat Wellbeing &amp; Environm Res Lab PowerLab, Wollongong, NSW 2522, Australia; [Astell-Burt, Thomas] Univ Wollongong, Illawarra Hlth &amp; Med Res Inst, Wollongong, NSW 2522, Australia; [Astell-Burt, Thomas] Chinese Acad Med Sci, Sch Populat Med &amp; Publ Hlth, Peking Union Med Coll, Beijing 100730, Peoples R China; [Astell-Burt, Thomas; Feng, Xiaoqi] Chinese Ctr Dis Control &amp; Prevent, Natl Inst Environm Hlth, Beijing 102206, Peoples R China; [Astell-Burt, Thomas; Feng, Xiaoqi] Univ Sydney, Menzies Ctr Hlth Policy, Sydney, NSW 2006, Australia; [Feng, Xiaoqi] UNSW, Sch Populat Hlth, Fac Med, Sydney, NSW 2052, Australia</t>
  </si>
  <si>
    <t>University of Wollongong; University of Wollongong; Chinese Academy of Medical Sciences - Peking Union Medical College; Peking Union Medical College; Chinese Center for Disease Control &amp; Prevention; National Institute of Environmental Health, Chinese Center for Disease Control &amp; Prevention; University of Sydney; University of New South Wales Sydney</t>
  </si>
  <si>
    <t>Astell-Burt, T (corresponding author), Univ Wollongong, Sch Hlth &amp; Soc, Fac Arts Social Sci &amp; Humanities, Populat Wellbeing &amp; Environm Res Lab PowerLab, Wollongong, NSW 2522, Australia.;Astell-Burt, T (corresponding author), Univ Wollongong, Illawarra Hlth &amp; Med Res Inst, Wollongong, NSW 2522, Australia.;Astell-Burt, T (corresponding author), Chinese Acad Med Sci, Sch Populat Med &amp; Publ Hlth, Peking Union Med Coll, Beijing 100730, Peoples R China.;Astell-Burt, T (corresponding author), Chinese Ctr Dis Control &amp; Prevent, Natl Inst Environm Hlth, Beijing 102206, Peoples R China.;Astell-Burt, T (corresponding author), Univ Sydney, Menzies Ctr Hlth Policy, Sydney, NSW 2006, Australia.</t>
  </si>
  <si>
    <t>Feng, Xiaoqi/AAM-9592-2021; Astell-Burt, Thomas/B-9341-2018</t>
  </si>
  <si>
    <t>Astell-Burt, Thomas/0000-0002-1498-4851; Feng, Xiaoqi/0000-0002-3421-220X</t>
  </si>
  <si>
    <t>Hort Frontiers Green Cities Fund, part of the Hort Frontiers strategic partnership initiative; Australian Government [GC15005]; National Health and Medical Research Council Boosting Dementia Research Leader Fellowship [1140317]; National Health and Medical Research Council Career Development Fellowship [1148792]</t>
  </si>
  <si>
    <t>Hort Frontiers Green Cities Fund, part of the Hort Frontiers strategic partnership initiative; Australian Government(Australian Government); National Health and Medical Research Council Boosting Dementia Research Leader Fellowship(National Health and Medical Research Council (NHMRC) of Australia); National Health and Medical Research Council Career Development Fellowship(National Health and Medical Research Council (NHMRC) of Australia)</t>
  </si>
  <si>
    <t>This work was supported by the Hort Frontiers Green Cities Fund, part of the Hort Frontiers strategic partnership initiative developed by Hort Innovation, with co-investment from the University of Wollongong (UOW) Faculty of Arts, Social Sciences and Humanities, the UOW Global Challenges initiative and contributions from the Australian Government (project number #GC15005). T.A.-B. was supported by a National Health and Medical Research Council Boosting Dementia Research Leader Fellowship (#1140317). X.F. was supported by a National Health and Medical Research Council Career Development Fellowship (#1148792). All aspects related to the conduct of this study including the views stated and the decision to publish the findings are that of the authors only.</t>
  </si>
  <si>
    <t>10.3390/ijerph18052757</t>
  </si>
  <si>
    <t>QV6XN</t>
  </si>
  <si>
    <t>WOS:000628111800001</t>
  </si>
  <si>
    <t>How bgs visitation effects respite, nature connectedness and exercise, and what factors allow or limit visitation</t>
  </si>
  <si>
    <t>Online and telephone surveys</t>
  </si>
  <si>
    <t xml:space="preserve">Australia </t>
  </si>
  <si>
    <t>Methorst, J; Rehdanz, K; Mueller, T; Hansjurgens, B; Bonn, A; Bohning-Gaese, K</t>
  </si>
  <si>
    <t>Methorst, Joel; Rehdanz, Katrin; Mueller, Thomas; Hansjuergens, Bernd; Bonn, Aletta; Boehning-Gaese, Katrin</t>
  </si>
  <si>
    <t>The importance of species diversity for human well-being in Europe</t>
  </si>
  <si>
    <t>ECOLOGICAL ECONOMICS</t>
  </si>
  <si>
    <t>Subjective Well-Being; Life-Satisfaction; Nature Contributions to People; Ecosystem Services; Nature Valuation; Biodiversity</t>
  </si>
  <si>
    <t>CULTURAL ECOSYSTEM SERVICES; GREEN SPACE; MENTAL-HEALTH; LIFE SATISFACTION; STRESS RECOVERY; PSYCHOLOGICAL BENEFITS; RESIDENTS PERCEPTIONS; BIRD SOUNDS; BLUE SPACE; URBAN</t>
  </si>
  <si>
    <t>Nature affects human well-being in multiple ways. However, the association between species diversity and human well-being at larger spatial scales remains largely unexplored. Here, we examine the relationship between species diversity and human well-being at the continental scale, while controlling for other known drivers of well-being. We related socio-economic data from more than 26,000 European citizens across 26 countries with macroecological data on species diversity and nature characteristics for Europe. Human well-being was measured as self-reported life-satisfaction and species diversity as the species richness of several taxonomic groups (e.g. birds, mammals and trees). Our results show that bird species richness is positively associated with life-satisfaction across Europe. We found a relatively strong relationship, indicating that the effect of bird species richness on life-satisfaction may be of similar magnitude to that of income. We discuss two, non-exclusive pathways for this relationship: the direct multisensory experience of birds, and beneficial landscape properties which promote both bird diversity and people's well-being. Based on these results, this study argues that management actions for the protection of birds and the landscapes that support them would benefit humans. We suggest that political and societal decision-making should consider the critical role of species diversity for human well-being.</t>
  </si>
  <si>
    <t>[Methorst, Joel] German Ctr Integrat Biodivers Res iDiv, Halle Jena Leipzig Senckenberg Biodivers &amp; Climat, Frankfurt, Germany; [Methorst, Joel] Goethe Univ Frankfurt Main, Frankfurt, Germany; [Rehdanz, Katrin] Univ Kiel, Dept Econ, Kiel, Germany; [Mueller, Thomas] Senckenberg Biodivers &amp; Climate Res Ctr SBiK F, Frankfurt, Germany; [Mueller, Thomas] Goethe Univ Frankfurt Main, Frankfurt, Germany; [Hansjuergens, Bernd] Martin Luther Univ Halle Wittenberg, Helmholtz Ctr Environm Res UFZ, Leipzig, Germany; [Hansjuergens, Bernd; Bonn, Aletta; Boehning-Gaese, Katrin] German Ctr Integrat Biodivers Res iDiv, Leipzig, Germany; [Bonn, Aletta] Friedrich Schiller Univ Jena, Helmholtz Ctr Environm Res UFZ, Leipzig, Germany; [Boehning-Gaese, Katrin] Goethe Univ Frankfurt Main, Senckenberg Biodivers &amp; Climate Res Ctr SBiK F, Frankfurt, Germany</t>
  </si>
  <si>
    <t>Goethe University Frankfurt; University of Kiel; Senckenberg Biodiversitat &amp; Klima- Forschungszentrum (BiK-F); Senckenberg Gesellschaft fur Naturforschung (SGN); Goethe University Frankfurt; Helmholtz Association; Helmholtz Center for Environmental Research (UFZ); Martin Luther University Halle Wittenberg; Friedrich Schiller University of Jena; Helmholtz Association; Helmholtz Center for Environmental Research (UFZ); Goethe University Frankfurt; Senckenberg Biodiversitat &amp; Klima- Forschungszentrum (BiK-F); Senckenberg Gesellschaft fur Naturforschung (SGN)</t>
  </si>
  <si>
    <t>Methorst, J (corresponding author), German Ctr Integrat Biodivers Res iDiv, Halle Jena Leipzig Senckenberg Biodivers &amp; Climat, Frankfurt, Germany.;Methorst, J (corresponding author), Goethe Univ Frankfurt Main, Frankfurt, Germany.</t>
  </si>
  <si>
    <t>joel.methorst@senckenberg.de; rehdanz@economics.uni-kiel.de; thomas.mueller@senckenberg.de; bernd.hansjuergens@ufz.de; aletta.bonn@idiv.de; katrin.boehning-gaese@senckenberg.de</t>
  </si>
  <si>
    <t>Methorst, Joel/AAY-9654-2021; Bonn, Aletta/A-2164-2013</t>
  </si>
  <si>
    <t>Methorst, Joel/0000-0001-8363-5332; Bonn, Aletta/0000-0002-8345-4600</t>
  </si>
  <si>
    <t>German Centre for Integrative Biodiversity Research (iDiv) Halle-Jena-Leipzig - German Science Foundation [DFG-FZT 118, 202548816]; iDiv Open Science Publication Fund</t>
  </si>
  <si>
    <t>German Centre for Integrative Biodiversity Research (iDiv) Halle-Jena-Leipzig - German Science Foundation; iDiv Open Science Publication Fund</t>
  </si>
  <si>
    <t>The authors kindly acknowledge the support by the German Centre for Integrative Biodiversity Research (iDiv) Halle-Jena-Leipzig, funded by the German Science Foundation (DFG-FZT 118, 202548816). We also acknowledge support from the iDiv Open Science Publication Fund. We thank Peter Manning from Senckenberg Biodiversity and Climate Research Centre (SBiK-F) for his comments on the manuscript and improvements made to the writing and language.</t>
  </si>
  <si>
    <t>0921-8009</t>
  </si>
  <si>
    <t>1873-6106</t>
  </si>
  <si>
    <t>ECOL ECON</t>
  </si>
  <si>
    <t>Ecol. Econ.</t>
  </si>
  <si>
    <t>10.1016/j.ecolecon.2020.106917</t>
  </si>
  <si>
    <t>Ecology; Economics; Environmental Sciences; Environmental Studies</t>
  </si>
  <si>
    <t>Environmental Sciences &amp; Ecology; Business &amp; Economics</t>
  </si>
  <si>
    <t>PR9EZ</t>
  </si>
  <si>
    <t>WOS:000607535200010</t>
  </si>
  <si>
    <t>How the biodiversity of birds benefits life-satisfction</t>
  </si>
  <si>
    <t>Bird Species richness and association with life-satisfaction</t>
  </si>
  <si>
    <t>Europe (26 countries)</t>
  </si>
  <si>
    <t>Fisher, JC; Irvine, KN; Bicknell, JE; Hayes, WM; Fernandes, D; Mistry, J; Davies, ZG</t>
  </si>
  <si>
    <t>Fisher, Jessica Claris; Irvine, Katherine Nesbitt; Bicknell, Jake Emmerson; Hayes, William Michael; Fernandes, Damian; Mistry, Jayalaxshmi; Davies, Zoe Georgina</t>
  </si>
  <si>
    <t>Perceived biodiversity, sound, naturalness and safety enhance the restorative quality and wellbeing benefits of green and blue space in a neotropical city</t>
  </si>
  <si>
    <t>Birdsong; Conservation; Global South; Guyana; Species richness; Urban</t>
  </si>
  <si>
    <t>ACOUSTIC INDEXES; STRESS RECOVERY; URBAN; HEALTH; WOODLAND; APPRECIATION; PERCEPTION; EXPOSURE; ECOLOGY; IMPACT</t>
  </si>
  <si>
    <t>Urban land cover expansion and human population growth are accelerating worldwide. This is resulting in the loss and degradation of green and blue spaces (e.g. parks, waterways, lakes) in cities, which provide resources to sustain biodiversity and improve human wellbeing. The specific characteristics of these spaces (e.g. sounds, species, safety) that enhance or detract from wellbeing are underexplored, yet this knowledge is needed to inform urban planning, management and policies that will ultimately benefit both people and biodiversity. Research of this kind is rarely conducted in the Global South, where rapid urbanisation threatens biodiversity rich ecosystems of worldwide significance. Here, we examine how perceptions of green, waterway, and dense urban spaces relate to wellbeing in Georgetown, Guyana. Specifically, we use mediation models to test how perceptions of sound, bird species richness, naturalness, and safety concerns contribute to sites being perceived as restorative which, subsequently, influences wellbeing. We assess the accuracy of these site perceptions with objective measures of sound (using a bioacoustic sound index), bird species richness, and percent coverage of vegetation, water, and impervious surfaces. Results showed that if sites were perceived as species rich, containing natural sounds like birdsong, natural rather than artificial, and safe, they were perceived as more restorative, resulting in improved wellbeing. In general, people's perceptions were consistent with objective measures. Green, compared with waterway and dense urban sites, contained more biophonic sounds, higher species richness, greater vegetation and water coverage. Although waterways were biodiverse, they were dominated by anthrophonic sounds, so were perceived as artificial and non-restorative. We shed light on how city planners might augment specific characteristics to improve the wellbeing of urban dwellers, with implications for biodiversity conservation. Our findings provide a scientific evidence base for urban design and management plans that could deliver multiple co-benefits, particularly in biodiversity-rich cities in neotropical regions. (C) 2020 The Authors. Published by Elsevier B.V.</t>
  </si>
  <si>
    <t>[Fisher, Jessica Claris; Bicknell, Jake Emmerson; Hayes, William Michael; Davies, Zoe Georgina] Univ Kent, Durrell Inst Conservat &amp; Ecol DICE, Sch Anthropol &amp; Conservat, Canterbury CT2 7NR, Kent, England; [Irvine, Katherine Nesbitt] James Hutton Inst, Social Econ &amp; Geog Sci Dept, Aberdeen AB15 8QH, Scotland; [Fernandes, Damian] Conservat Int Guyana, 98 Laluni St, Georgetown, Guyana; [Mistry, Jayalaxshmi] Royal Holloway Univ London, Dept Geog, Egham Hill, Egham TW20 0EX, Surrey, England</t>
  </si>
  <si>
    <t>Royal Geographical Society; IBG, Gilchrist Educational Foundation; ESRC [ES/J500148/1]; NERC [NE/L002582/1]; RESAS division of the Scottish Government; European Research Council (ERC) under the European Union's Horizon 2020 Research and Innovation Framework Programme [726104]; ESRC [ES/J500148/1] Funding Source: UKRI</t>
  </si>
  <si>
    <t>Royal Geographical Society; IBG, Gilchrist Educational Foundation; ESRC(UK Research &amp; Innovation (UKRI)Economic &amp; Social Research Council (ESRC)); NERC(UK Research &amp; Innovation (UKRI)Natural Environment Research Council (NERC)); RESAS division of the Scottish Government; European Research Council (ERC) under the European Union's Horizon 2020 Research and Innovation Framework Programme(European Research Council (ERC)); ESRC(UK Research &amp; Innovation (UKRI)Economic &amp; Social Research Council (ESRC))</t>
  </si>
  <si>
    <t>We thank H. Yang, A. Harris, S. Rampertab, M. Pierre, R. Bacchus, J. Kennedy, R. Gibbons, D. Somwaru, K. Hernandez, K. Joshi, R. Blackburn and J. Crosse. Logistical support was provided by Protected Areas Commission andWWF Guyana. We thankM. Marselle and S. Payne for constructive discussion. This work was supported by grants to JCF from Royal Geographical Society with IBG, Gilchrist Educational Foundation, ESRC (ES/J500148/1), and NERC (NE/L002582/1). KNI was supported by the RESAS division of the Scottish Government. KNI and ZGD were supported by the European Research Council (ERC) under the European Union's Horizon 2020 Research and Innovation Framework Programme (Consolidator Grant No. 726104). Permission was provided by the Environmental Protection Agency of Guyana (051117 BR 006).</t>
  </si>
  <si>
    <t>FEB 10</t>
  </si>
  <si>
    <t>10.1016/j.scitotenv.2020.143095</t>
  </si>
  <si>
    <t>PI0JJ</t>
  </si>
  <si>
    <t>WOS:000600786700083</t>
  </si>
  <si>
    <t>What characteristics of gbs influence their restorative properites</t>
  </si>
  <si>
    <t>mutliple scales of assessing well-being</t>
  </si>
  <si>
    <t>questionaire</t>
  </si>
  <si>
    <t>Labib, SM; Huck, JJ; Lindley, S</t>
  </si>
  <si>
    <t>Labib, S. M.; Huck, Jonny J.; Lindley, Sarah</t>
  </si>
  <si>
    <t>Modelling and mapping eye-level greenness visibility exposure using multi-source data at high spatial resolutions</t>
  </si>
  <si>
    <t>Greenspace; Eye level greenness visibility; Environmental exposure; Geographic Information Systems; Urban health; Street view</t>
  </si>
  <si>
    <t>GOOGLE STREET VIEW; VISUAL IMPACT; BLUE SPACE; HEALTH; INFRASTRUCTURE; ASSOCIATIONS; GREENERY; RECOVERY; ENVIRONMENT; GREENSPACE</t>
  </si>
  <si>
    <t>The visibility of natural greenness is associated with several health benefits along multiple pathways, including stress recovery and attention restoration mechanisms. However, existing methodologies are inadequate for capturing eye-level greenness visibility exposure at high spatial resolutions for observers located on the ground. As a response, we developed an innovative methodological approach to model and map eye-level greenness visibility exposure for 5 m interval locations within a large study area. We used multi-source spatial data and applied viewshed analysis in conjunction with a distance decay model to compute a novel Viewshed Greenness Visibility Index (VGVI) at more than 86 million observer locations. We compared our eye-level visibility exposure map with traditional top-down greenness exposure metrics such as Normalised Differential Vegetation Index (NDVI) and a Street view based Green View Index (SGVI). Furthermore, we compared greenness visibility at street-only locations with total neighbourhood greenness visibility. We found strong to moderate correlations (r = 0.65-0.42, p &lt; 0.05) between greenness visibility and mean NDVI, with a decreasing trend in correlation strength at increasing buffer distances from observer locations. Our findings suggest that top-down and eye-level measurements of greenness are two distinct metrics for assessing greenness exposure. Additionally, VGVI showed a strong correlation (r = 0.481, p &lt; 0.01) with SGVI. Although the new VGVI has good agreement with existing street view based measures, we found that street-only greenness visibility values are not wholly representative of total neighbourhood visibility due to the under-representation of visible greenness in locations such as backyards and community parks. Our new methodology overcomes such underestimations, is easily transferable, and offers a computationally efficient approach to assessing eye-level greenness exposure. (C) 2020 The Authors. Published by Elsevier B.V.</t>
  </si>
  <si>
    <t>[Labib, S. M.; Huck, Jonny J.; Lindley, Sarah] Univ Manchester, Sch Environm Educ &amp; Dev SEED, Dept Geog, Arthur Lewis Bldg,1st Floor,Oxford Rd, Manchester M13 9PL, Lancs, England; [Labib, S. M.] Univ Cambridge, Ctr Diet &amp; Act Res CEDAR, MRC Epidemiol Unit, Clifford Allbutt Bldg, Cambridge CB2 0AH, England</t>
  </si>
  <si>
    <t>University of Manchester; University of Cambridge</t>
  </si>
  <si>
    <t>Labib, SM (corresponding author), Univ Manchester, Sch Environm Educ &amp; Dev SEED, Dept Geog, Arthur Lewis Bldg,1st Floor,Oxford Rd, Manchester M13 9PL, Lancs, England.</t>
  </si>
  <si>
    <t>sml80@medschl.cam.ac.uk; jonathan.huck@manchester.ac.uk; sarah.lindley@manchester.ac.uk</t>
  </si>
  <si>
    <t>Lindley, Sarah/O-4284-2014; Labib, S M/R-9014-2019</t>
  </si>
  <si>
    <t>Lindley, Sarah/0000-0003-0581-4284; Labib, S M/0000-0002-4127-2075; Huck, Jonathan/0000-0003-4295-3646</t>
  </si>
  <si>
    <t>School of Environment, Education and Development Postgraduate Research Scholarship at the University of Manchester; Natural Environment Research Council; Arts and Humanities Research Council; Economic and Social Research Council under the Valuing Nature Programme; NERC [NE/N013530/1]; NERC [NE/N013530/1] Funding Source: UKRI</t>
  </si>
  <si>
    <t>School of Environment, Education and Development Postgraduate Research Scholarship at the University of Manchester; Natural Environment Research Council(UK Research &amp; Innovation (UKRI)Natural Environment Research Council (NERC)); Arts and Humanities Research Council(UK Research &amp; Innovation (UKRI)Arts &amp; Humanities Research Council (AHRC)); Economic and Social Research Council under the Valuing Nature Programme; NERC(UK Research &amp; Innovation (UKRI)Natural Environment Research Council (NERC)); NERC(UK Research &amp; Innovation (UKRI)Natural Environment Research Council (NERC))</t>
  </si>
  <si>
    <t>We would like to thank the reviewers and editor of this paper for their constructive comments and suggestions. We acknowledge the use of Environment Agency data, (c) Environment Agency copyright and/or database right 2015. We also acknowledge the use of OS MasterMap Building Height Attribute dataset under Educational User Licence and (c) Crown copyright 2019. Our VGVI software relies upon the Fiona, Rasterio, Numpy, Shapely and SkImage Python libraries. We would also like to acknowledge the assistance given by Research IT and the use of the Computational Shared Facility at The University of Manchester. S.M. Labib is funded by the School of Environment, Education and Development Postgraduate Research Scholarship at the University of Manchester. Elements of this work were carried out as part of the Green Infrastructure and the Health and Well-Being Influences on an Ageing Population (GHIA) project (2016-2019) http://www.ghia.org.uk.This project is funded by the Natural Environment Research Council, the Arts and Humanities Research Council and the Economic and Social Research Council under the Valuing Nature Programme. NERC grant reference number NE/N013530/1.</t>
  </si>
  <si>
    <t>10.1016/j.scitotenv.2020.143050</t>
  </si>
  <si>
    <t>PH6RN</t>
  </si>
  <si>
    <t>WOS:000600537400050</t>
  </si>
  <si>
    <t>How measures of greeness can be assessed from top down and street view</t>
  </si>
  <si>
    <t>Manchester</t>
  </si>
  <si>
    <t>Kajosaari, A; Pasanen, TP</t>
  </si>
  <si>
    <t>Kajosaari, Anna; Pasanen, Tytti P.</t>
  </si>
  <si>
    <t>Restorative benefits of everyday green exercise: A spatial approach</t>
  </si>
  <si>
    <t>Green space; Public participation GIS; Natural Environments; Green exercise; Mental Health; Physical activity</t>
  </si>
  <si>
    <t>PHYSICAL-ACTIVITY INDOORS; NATURAL ENVIRONMENTS; ECOSYSTEM SERVICES; SOCIAL VALUES; MENTAL-HEALTH; URBAN; SPACES; OUTDOOR; VISITS; SIZE</t>
  </si>
  <si>
    <t>Contact with green space has been associated with diverse beneficial impacts on human health. Studies focusing on green exercise suggest that physical activity undertaken in green environments provides more mental health benefits than physical activity in indoor or other outdoor settings. However, this evidence is largely based on experimental field studies that control the participants' contact with green space, while there is a lack of evidence that the real-life settings for green exercise promote mental health. This study applies a spatial approach using public participation GIS (PPGIS) methods to explore the perceived restorative outcomes of diverse outdoor physical activity environments. The data were collected in the Helsinki Metropolitan Area, Finland, with a map based online survey directed to adults aged 18-65 years (n = 760). Perceived restoration was measured with three variables; stress reduction, relaxation, and nature enjoyment. Logistic regression analyses revealed significant differences in the perceived restoration outcomes between diverse outdoor physical activity environments. Stress reduction and relaxation during physical activity were most likely to be experienced near blue spaces and in large (&gt;30 ha) urban and recreational forests, while nature enjoyment was associated with natural environments of all sizes. The results of this study suggest that exercising in blue spaces and in large natural areas provides additional restorative benefits compared to exercise undertaken in built outdoor environments. These results support a synergistic conception of urban health that acknowledges the diversity of health benefits provided by public open spaces, in particular blue and natural green settings.</t>
  </si>
  <si>
    <t>[Kajosaari, Anna] Aalto Univ, Dept Built Environm, POB 14100, Aalto 00076, Finland; [Pasanen, Tytti P.] Finnish Inst Hlth &amp; Welf, Helsinki, Finland; [Pasanen, Tytti P.] Tampere Univ, Fac Social Sci, Psychol, Tampere, Finland</t>
  </si>
  <si>
    <t>Aalto University; Tampere University</t>
  </si>
  <si>
    <t>Kajosaari, A (corresponding author), Aalto Univ, Dept Built Environm, POB 14100, Aalto 00076, Finland.</t>
  </si>
  <si>
    <t>anna.kajosaari@aalto.fi; tytti.pasanen@thl.fi</t>
  </si>
  <si>
    <t>Pasanen, Tytti P./I-2745-2019; Kajosaari, Anna/AAU-9347-2020</t>
  </si>
  <si>
    <t>Pasanen, Tytti P./0000-0002-8206-4379; Kajosaari, Anna/0000-0001-8165-6770</t>
  </si>
  <si>
    <t>PLAN-Health project through the Academy of Finland [13297753]</t>
  </si>
  <si>
    <t>PLAN-Health project through the Academy of Finland</t>
  </si>
  <si>
    <t>This work was funded by the PLAN-Health project through the Academy of Finland [project number: 13297753].</t>
  </si>
  <si>
    <t>10.1016/j.landurbplan.2020.103978</t>
  </si>
  <si>
    <t>PC9LP</t>
  </si>
  <si>
    <t>WOS:000597319200007</t>
  </si>
  <si>
    <t>How contact with different outdoor environments effects benefits of exercise</t>
  </si>
  <si>
    <t>Survey on a binary scale</t>
  </si>
  <si>
    <t>Cross-section</t>
  </si>
  <si>
    <t>Lauwers, L; Leone, M; Guyot, M; Pelgrims, I; Remmen, R; Van den Broeck, K; Keune, H; Bastiaens, H</t>
  </si>
  <si>
    <t>Lauwers, Laura; Leone, Michael; Guyot, Madeleine; Pelgrims, Ingrid; Remmen, Roy; Van den Broeck, Kris; Keune, Hans; Bastiaens, Hilde</t>
  </si>
  <si>
    <t>Exploring how the urban neighborhood environment influences mental well-being using walking interviews</t>
  </si>
  <si>
    <t>Mental well-being; Urban neighborhood environment; Qualitative method; Walking interview; Socioecological approach</t>
  </si>
  <si>
    <t>GREEN SPACE; SELF-REGULATION; PUBLIC SPACES; GO-ALONG; HEALTH; PLACE; BENEFITS; SATISFACTION; PERCEPTIONS; RESIDENTS</t>
  </si>
  <si>
    <t>Mental well-being in cities is being challenged worldwide and a more detailed understanding of how urban environments influence mental well-being is needed. This qualitative study explores neighborhood factors and their interactions in relation to mental well-being. Individual semi-structured walking interviews were conducted with socioecological adults living in the Brussels-Capital Region. This paper provides a detailed description of physical neighborhood factors (green-blue spaces, services, design and maintenance, traffic, cellphone towers) and social neighborhood factors (neighbor ties, neighbor diversity, social security) that link to mental well-being. A socioecological framework is presented to explain interactions among those neighborhood factors, and personal and institutional factors, in relation to mental well-being. The findings are linked to existing concepts and theories to better understand the mechanisms underlying the associations between the urban neighborhood environment and mental well-being. Finally, implications of the walking interview method are discussed.</t>
  </si>
  <si>
    <t>[Lauwers, Laura; Remmen, Roy; Bastiaens, Hilde] Univ Antwerp, Ctr Gen Practice, Fac Med &amp; Hlth Sci, Antwerp, Belgium; [Leone, Michael] Res Inst Nat &amp; Forest INBO, Nat &amp; Soc Team, Brussels, Belgium; [Guyot, Madeleine] Catholic Univ Louvain, Ctr Operat Res &amp; Econometr, Louvain La Neuve, Belgium; [Pelgrims, Ingrid] Sciensano, Dept Risk &amp; Hlth Impact Assessment, Brussels, Belgium; [Van den Broeck, Kris] Univ Antwerp, Ctr Gen Practice, Chair Publ Mental Hlth, Fac Med &amp; Hlth Sci, Antwerp, Belgium; [Keune, Hans] Res Inst Nat &amp; Forest INBO, Nat &amp; Soc Team, Belgian Biodivers Platform, Brussels, Belgium; [Keune, Hans] Univ Antwerp, Ctr Gen Practice, Chair Care &amp; Nat Living Environm, Fac Med &amp; Hlth Sci, Antwerp, Belgium</t>
  </si>
  <si>
    <t>University of Antwerp; Research Institute for Nature &amp; Forest; Universite Catholique Louvain; Sciensano; University of Antwerp; Research Institute for Nature &amp; Forest; University of Antwerp</t>
  </si>
  <si>
    <t>Lauwers, L (corresponding author), Univ Antwerp, Fac Med &amp; Hlth Sci, Ctr Gen Practice, Gouverneur Kinsbergenctr 00-58,Doornstr 331, B-2610 Antwerp, Belgium.</t>
  </si>
  <si>
    <t>laura.lauwers@uantwerpen.be; michael.leone@inbo.be; madeleine.guyot@uclouvain.be; Ingrid.Pelgrims@sciensano.be; roy.remmen@uantwerpen.be; kris.vandenbroeck@uantwerpen.be; hans.keune@inbo.be; hilde.bastiaens@uantwerpen.be</t>
  </si>
  <si>
    <t>Van den Broeck, Kris/HGU-3994-2022; Van den Broeck, Kris/AAD-5886-2019</t>
  </si>
  <si>
    <t>Van den Broeck, Kris/0000-0002-5566-6868; Keune, Hans/0000-0002-1531-944X; Bastiaens, Hilde/0000-0002-5509-3406; Leone, Michael/0000-0001-6976-8868</t>
  </si>
  <si>
    <t>Belgian Federal Science Policy Office (BELSPO) [[BR/175/A3/NAMED]]</t>
  </si>
  <si>
    <t>Belgian Federal Science Policy Office (BELSPO)(Belgian Federal Science Policy Office)</t>
  </si>
  <si>
    <t>This work was supported by the Belgian Federal Science Policy Office (BELSPO) [grant number BR/175/A3/NAMED].</t>
  </si>
  <si>
    <t>10.1016/j.healthplace.2020.102497</t>
  </si>
  <si>
    <t>QE2WJ</t>
  </si>
  <si>
    <t>WOS:000616071400003</t>
  </si>
  <si>
    <t>What envrionemental factors play a role in facilatating mental well-being when in a socio-ecological context</t>
  </si>
  <si>
    <t>Semi-structured walking interviews</t>
  </si>
  <si>
    <t>qualitative</t>
  </si>
  <si>
    <t>Belgium (Brussels)</t>
  </si>
  <si>
    <t>Tan, CLY; Chang, CC; Nghiem, LP; Zhang, YC; Oh, RRY; Shanahan, DF; Lin, BB; Gaston, KJ; Fuller, RA; Carrasco, LR</t>
  </si>
  <si>
    <t>Tan, Claudia L. Y.; Chang, Chia-Chen; Nghiem, Le T. P.; Zhang, Yuchen; Oh, Rachel R. Y.; Shanahan, Danielle F.; Lin, Brenda B.; Gaston, Kevin J.; Fuller, Richard A.; Carrasco, L. Roman</t>
  </si>
  <si>
    <t>The right mix: Residential urban green-blue space combinations are correlated with physical exercise in a tropical city-state</t>
  </si>
  <si>
    <t>City design and planning; Forested parks; Health; Managed wilderness; Scrubland-forest patches; Urban green-blue spaces</t>
  </si>
  <si>
    <t>ADULTS PARTICIPATION; NATURAL ENVIRONMENTS; NEIGHBORHOOD GREEN; BENEFITS; VEGETATION; PARKS; VISUALIZATION; RESTORATION; FACILITIES; LANDSCAPES</t>
  </si>
  <si>
    <t>Growing recognition of nature's benefits to many aspects of human wellbeing has prompted the incorporation of both urban green and blue natural outdoor environments (NOEs) into cities. Amongst the many purposes of NOEs, promotion of physical exercise has been garnering interest, given the increasingly sedentary lifestyles of urban dwellers. However, studies rarely consider how different types of NOEs, let alone the combination of them, might affect the type and frequency of physical exercise conducted by urban residents. We use Singapore, a highly urbanised tropical nation with a considerable number of NOEs, as a case-study to address these gaps. We used a market research survey (n = 1519), geographic information systems, and generalised linear regression models to investigate the relationship between residential NOE cover, exercise-influencing sociodemographic factors, and outdoor exercise choice (i.e., if respondents exercised or not) and frequency of four types of physical exercises: walking, individual-based, team-sports, and overall exercise. For exercise choice, more people walked in areas with higher forest and scrub cover, and less in areas with just scrub. Less conducted individual-based exercise in areas with high unmanaged vegetation cover, and more conducted team-sports in areas with higher open-canopy managed vegetation cover. Amongst those who engaged in these exercises, managed vegetation cover is positively correlated with walking (open- and closed-canopy combined) and team-sports (open-canopy) frequency. Individual-based exercise frequency rose in areas with a mix of high open-canopy managed vegetation and blue space cover within 250 m from one's home, and a mix of high managed treescape and forest cover 500 m from one's home. Findings suggest that a specific mix of NOEs can promote the participation of different types of physical exercise. Integrating the right NOE types and combinations into urban residential spaces may thus help to mitigate sedentary lifestyles, boosting public health outcomes in city populations.</t>
  </si>
  <si>
    <t>[Tan, Claudia L. Y.; Chang, Chia-Chen; Nghiem, Le T. P.; Zhang, Yuchen; Carrasco, L. Roman] Natl Univ Singapore, Dept Biol Sci, Singapore, Singapore; [Oh, Rachel R. Y.; Fuller, Richard A.] Natl Pk Board, Ctr Urban Greenery &amp; Ecol, Singapore, Singapore; [Shanahan, Danielle F.] Zealandia Ctr People &amp; Nat, Wellington, New Zealand; [Lin, Brenda B.] CSIRO Land &amp; Water Flagship, Aspendale, Vic, Australia; [Gaston, Kevin J.] Univ Exeter, Environm &amp; Sustainabil Inst, Penryn, Cornwall, England</t>
  </si>
  <si>
    <t>National University of Singapore; Commonwealth Scientific &amp; Industrial Research Organisation (CSIRO); University of Exeter</t>
  </si>
  <si>
    <t>Tan, CLY (corresponding author), Natl Univ Singapore, Dept Biol Sci, Singapore, Singapore.;Tan, CLY (corresponding author), TAN Natl Univ Singapore, Dept Biol Sci, 14 Sci Dr 4,Block S3-01, Singapore 117543, Singapore.</t>
  </si>
  <si>
    <t>claudiatan@nus.edu.sg</t>
  </si>
  <si>
    <t>Zhang, Yuchen/GYI-8858-2022; Lin, Brenda/O-3578-2019; zhang, yu/HNS-5948-2023; Shanahan, Danielle F/F-8437-2013; Lin, Brenda B/A-8834-2011; Fuller, Richard/B-7971-2008; Oh, Rachel R. Y./HTM-4052-2023</t>
  </si>
  <si>
    <t>Lin, Brenda/0000-0002-6011-9172; Lin, Brenda B/0000-0002-6011-9172; Fuller, Richard/0000-0001-9468-9678; Oh, Rui Ying Rachel/0000-0003-2716-7727; Tan, Claudia/0000-0002-9122-9964; Chang, Chia-chen/0000-0001-9853-8949</t>
  </si>
  <si>
    <t>Ministry of National Development [R-154-000-B05-490]; National Parks Board, Singapore [R-154-000-B05-490]; Commonwealth Government of Australia</t>
  </si>
  <si>
    <t>Ministry of National Development(Ministry of National Development, Singapore); National Parks Board, Singapore; Commonwealth Government of Australia(Australian Government)</t>
  </si>
  <si>
    <t>The authors would like to thank the Ministry of National Development and the National Parks Board, Singaporefor providing funding support to undertake this research [Grant number R-154-000-B05-490]. R. R. Y. Oh acknowledges scholarship support from the Commonwealth Government of Australia.</t>
  </si>
  <si>
    <t>10.1016/j.ufug.2020.126947</t>
  </si>
  <si>
    <t>QI8FM</t>
  </si>
  <si>
    <t>WOS:000619218900005</t>
  </si>
  <si>
    <t xml:space="preserve">How the arrangement of natural outdoor environments influences different uses, and how a cobination og BGS can be beneifical </t>
  </si>
  <si>
    <t>Online Questionaire</t>
  </si>
  <si>
    <t>Singapore</t>
  </si>
  <si>
    <t>Qiu, L; Chen, QJ; Gao, T</t>
  </si>
  <si>
    <t>Qiu, Ling; Chen, Qujing; Gao, Tian</t>
  </si>
  <si>
    <t>The Effects of Urban Natural Environments on Preference and Self-Reported Psychological Restoration of the Elderly</t>
  </si>
  <si>
    <t>urban natural environments; perceived restorativeness; perceived sensory dimensions (PSDs); landscape design</t>
  </si>
  <si>
    <t>GREEN SPACES; REPRESENTATION VALIDITY; PHYSICAL-ACTIVITY; TREE COVER; BLUE SPACE; LANDSCAPE; BIODIVERSITY; EXPOSURE; VISITORS; IMPACTS</t>
  </si>
  <si>
    <t>The world is facing the challenge of aging populations. Urban natural environments, including green spaces and blue spaces, have been demonstrated to have great benefits to the mental restoration of the elderly. However, the study of the specific characteristics of urban environments that are popular and the most restorative for the elderly is still lacking. Photo elicitation as visual stimuli was utilized to explore the differences in preference and psychological restoration of the elderly through the perception of the eight perceived sensory dimensions (PSDs) in different types of urban environments. The results showed that: (1) The respondents had different perceptions of the eight PSDs in the different urban natural environments. Blue space and partly-closed green space were more preferred by the elderly, and also had more psychological restorative effects on the elderly. (2) There was no significant correlation between the number of highly perceived PSDs and preference, as well as between the number of highly perceived PSDs and psychological restoration. However, there was a significant correlation between preference and psychological restoration. (3) Partly-closed green space with more Serene and Refuge qualities, and blue space with more Serene, Refuge and Prospect properties were optimal characteristics for psychological restoration of the elderly. In addition, open green space with more Prospect, Serene and Social qualities, and closed green space with more Space, Refuge and less Nature properties could also increase psychological restoration of older adults. These findings can provide useful guidelines for restorative environmental design for the elderly in the future.</t>
  </si>
  <si>
    <t>[Qiu, Ling; Chen, Qujing; Gao, Tian] Northwest A&amp;F Univ, Coll Landscape Architecture &amp; Arts, Dept Landscape Architecture, Yangling 712100, Shaanxi, Peoples R China</t>
  </si>
  <si>
    <t>Gao, T (corresponding author), Northwest A&amp;F Univ, Coll Landscape Architecture &amp; Arts, Dept Landscape Architecture, Yangling 712100, Shaanxi, Peoples R China.</t>
  </si>
  <si>
    <t>qiu.ling@nwsuaf.edu.cn; jing941001@nwafu.edu.cn; tian.gao@nwsuaf.edu.cn</t>
  </si>
  <si>
    <t>Qiu, Ling/0000-0002-7021-7235; Gao, Tian/0000-0002-0375-4073</t>
  </si>
  <si>
    <t>National Natural Science Foundation of China [31500582, 31600580, 31971720, 31971722]; Talent Support of Shaanxi Province [A279021715, A279021830]</t>
  </si>
  <si>
    <t>National Natural Science Foundation of China(National Natural Science Foundation of China (NSFC)); Talent Support of Shaanxi Province</t>
  </si>
  <si>
    <t>This research was funded by the National Natural Science Foundation of China [grant numbers: 31500582, 31600580, 31971720 and 31971722]; and Talent Support of Shaanxi Province [grant numbers: A279021715 and A279021830].</t>
  </si>
  <si>
    <t>10.3390/ijerph18020509</t>
  </si>
  <si>
    <t>PX3LU</t>
  </si>
  <si>
    <t>WOS:000611261200001</t>
  </si>
  <si>
    <t>What specifc features of an environment are restorative to the elderly</t>
  </si>
  <si>
    <t>Yes (photos)</t>
  </si>
  <si>
    <t>Questionaire with likert scale (percieved resorativeness scale) Photo prompts</t>
  </si>
  <si>
    <t>Quanitative</t>
  </si>
  <si>
    <t>Duke, L; Soulsbury, CD</t>
  </si>
  <si>
    <t>Duke, Lucy; Soulsbury, Carl D.</t>
  </si>
  <si>
    <t>Human-wildlife interaction networks at urban blue spaces</t>
  </si>
  <si>
    <t>AREA</t>
  </si>
  <si>
    <t>blue spaces; human&amp;#8211; wildlife interactions; network analysis; questionnaire; urban</t>
  </si>
  <si>
    <t>HUMAN HEALTH; ENVIRONMENTAL JUSTICE; ANIMAL GEOGRAPHY; GREEN SPACE; BIRD SOUNDS; WATER; EXTINCTION; EXPOSURE; BENEFITS; ECOLOGY</t>
  </si>
  <si>
    <t>Human-wildlife interactions in urban areas are known to be important as they can promote nature connectedness and improve human well-being. Most work has looked at human-wildlife interactions at greenspaces, but blue spaces have considerable potential as foci for interactions. We investigated human-wildlife interactions at three urban blue spaces in Lincoln, UK. At each location, the interactions and their duration between humans and wildlife were recorded over a period of 5 months. Questionnaires were also distributed to persons visiting these blue spaces. Interaction networks showed that waterfowl (swans, geese, ducks) were responsible for most human-wildlife interactions, with most interactions taking place in the two more urban sites, but a more diverse interaction network was found at the more natural site. User group and location were found to be significantly associated in determining both the duration and the frequency of interactions. All participants at all sites placed a very high value of importance on urban blue spaces. Our results demonstrate that blue spaces are important as foci for human-wildlife interactions and that key species are responsible for most interactions. In turn, this these interactions can promote greater connectedness to nature and long term may promote an affinity to protect the local environment.</t>
  </si>
  <si>
    <t>[Duke, Lucy; Soulsbury, Carl D.] Univ Lincoln, Sch Life Sci, Lincoln, England</t>
  </si>
  <si>
    <t>University of Lincoln</t>
  </si>
  <si>
    <t>Soulsbury, CD (corresponding author), Univ Lincoln, Sch Life Sci, Lincoln, England.</t>
  </si>
  <si>
    <t>csoulsbury@lincoln.ac.uk</t>
  </si>
  <si>
    <t>Soulsbury, Carl/P-1492-2019</t>
  </si>
  <si>
    <t>Soulsbury, Carl/0000-0001-8808-5210</t>
  </si>
  <si>
    <t>0004-0894</t>
  </si>
  <si>
    <t>1475-4762</t>
  </si>
  <si>
    <t>Area</t>
  </si>
  <si>
    <t>10.1111/area.12683</t>
  </si>
  <si>
    <t>DEC 2020</t>
  </si>
  <si>
    <t>QN5EG</t>
  </si>
  <si>
    <t>WOS:000597812900001</t>
  </si>
  <si>
    <t xml:space="preserve">Nature interactions associated with urban blue spaces </t>
  </si>
  <si>
    <t>On site questionnaire</t>
  </si>
  <si>
    <t>UK (Lincoln)</t>
  </si>
  <si>
    <t>Thygesen, M; Engemann, K; Holst, GJ; Hansen, B; Geels, C; Brandt, J; Pedersen, CB; Dalsgaard, S</t>
  </si>
  <si>
    <t>Thygesen, Malene; Engemann, Kristine; Holst, Gitte J.; Hansen, Birgitte; Geels, Camilla; Brandt, Jorgen; Pedersen, Carsten B.; Dalsgaard, Soren</t>
  </si>
  <si>
    <t>The Association between Residential Green Space in Childhood and Development of Attention Deficit Hyperactivity Disorder: A Population-Based Cohort Study</t>
  </si>
  <si>
    <t>ENVIRONMENTAL HEALTH PERSPECTIVES</t>
  </si>
  <si>
    <t>AIR-POLLUTION FORECASTS; URBAN STREET SCALE; DEFICIT/HYPERACTIVITY DISORDER; BEHAVIORAL-PROBLEMS; BARCELONA SCHOOLCHILDREN; REGIONAL-SCALE; BLUE SPACES; EXPOSURE; SYSTEM; CHILDREN</t>
  </si>
  <si>
    <t>BACKGROUND: Access to green space has been hypothesized to have a beneficial impact on children's mental well-being and cognitive development. The underlying mechanisms of the mental health benefits of green space are not fully understood, but different pathways have been suggested, such as the psychologically restoring capacities of green space, the ability to facilitate physical activity and social cohesion, and the mitigation of exposure to air pollution. OBJECTIVES: In this nationwide cohort study, we investigated associations between residential green space in early childhood and a clinical diagnosis of attention deficit hyperactivity disorder (ADHD). METHODS: The cohort included individuals, who were born in Denmark between 1992 and 2007 (n = 814,689) and followed for a diagnosis of ADHD from age 5, during the period 1997-2016. We used the normalized difference vegetation index (NDVI) as a measure of vegetation greenness surrounding each residential address in a quadratic area of 210 m x 210 m in which the residence was located in the center of the quadrate. Individual exposure to green space was calculated as the average of NDVI surrounding each individual's residential address (or addresses if more than one) between birth and the fifth birthday. Multilevel modeling was used to estimate the incidence rate ratios (IRRs) with 95% confidence intervals (CI) for ADHD, according to exposure level and adjusted for calendar time, age, sex, parental socioeconomic status, neighborhood level socioeconomic status, and urbanicity. RESULTS: Individuals living in areas defined by sparse green vegetation (lowest decile of NDVI) had an increased risk of developing ADHD, compared with individuals living in areas within the highest decile of NDVI (IRR = 1.55; 95% CI: 1.46, 1.65). Adjusting for the known confounders attenuated the result, but the association remained (IRR = 1.20; 95% CI: 1.13, 1.28). CONCLUSION: Our findings suggest that lower levels of green space in residential surroundings, during early childhood, may be associated with a higher risk of developing ADHD.</t>
  </si>
  <si>
    <t>[Thygesen, Malene; Holst, Gitte J.; Pedersen, Carsten B.; Dalsgaard, Soren] Aarhus Univ, Sch Business &amp; Social Sci, Natl Ctr Register Based Res, Dept Econ &amp; Business, Aarhus, Denmark; [Thygesen, Malene; Pedersen, Carsten B.; Dalsgaard, Soren] Aarhus Univ, iPSYCH, Lundbeck Fdn Initiat Integrat Psychiat Res, Aarhus, Denmark; [Thygesen, Malene; Engemann, Kristine; Pedersen, Carsten B.; Dalsgaard, Soren] Aarhus Univ, Ctr Integrated Register Based Res CIRRAU, Aarhus, Denmark; [Holst, Gitte J.] Aarhus Univ, Sect Environm Occupat &amp; Hlth, Dept Publ Hlth, Aarhus, Denmark; [Hansen, Birgitte] Geol Survey Denmark &amp; Greenland GEUS, Copenhagen, Denmark; [Engemann, Kristine] Aarhus Univ, Ctr Biodivers Dynam Changing World BIOCHANGE, Aarhus, Denmark; [Geels, Camilla; Brandt, Jorgen] Aarhus Univ, Dept Environm Sci, Roskilde, Denmark; [Engemann, Kristine; Pedersen, Carsten B.] Aarhus Univ, Big Data Ctr Environm &amp; Hlth BERTHA, Aarhus, Denmark</t>
  </si>
  <si>
    <t>Aarhus University; Aarhus University; Lundbeck Foundation Initiative for Integrative Psychiatric Research (iPSYCH); Aarhus University; Aarhus University; Geological Survey Of Denmark &amp; Greenland; Aarhus University; Aarhus University; Aarhus University</t>
  </si>
  <si>
    <t>Thygesen, M (corresponding author), Aarhus Univ, Natl Ctr Register Based Res, Fuglesangs Alle 26,Bldg R, DK-8210 Aarhus V, Denmark.</t>
  </si>
  <si>
    <t>mthygesen@econ.au.dk</t>
  </si>
  <si>
    <t>Hansen, Birgitte/F-4883-2010; Dalsgaard, Søren/AAA-4475-2020; Geels, Camilla/G-4757-2013; Brandt, Jørgen/B-3733-2011; Pedersen, Carsten Bøcker/B-8441-2013</t>
  </si>
  <si>
    <t>Hansen, Birgitte/0000-0003-2318-145X; Dalsgaard, Søren/0000-0003-4659-0969; Geels, Camilla/0000-0003-2549-1750; Brandt, Jørgen/0000-0002-7580-9547; Pedersen, Carsten Bøcker/0000-0003-2077-8533</t>
  </si>
  <si>
    <t>Aarhus University Research Foundation [AUFF-E-2015-FLS-8-61]; Graduate School of Health Sciences at Aarhus University; Lundbeck Foundation (iPSYCH grant) [R102 -A9118, R155-2014-1724]; Centre for Integrated Register -based Research at Aarhus University (CIRRAU); NordForsk, under the Nordic Programme on Health and Welfare (NordicWelfAir grant) [75007]; Novo Nordisk Foundation (Big Data Centre for Environment and Health) [NNF170C0027864]; National Institutes of Health [ROlES026993]; Novo Nordisk Foundation [22018]; European Commission [667302]; Helsefonden [19-8-0260]</t>
  </si>
  <si>
    <t>Aarhus University Research Foundation; Graduate School of Health Sciences at Aarhus University; Lundbeck Foundation (iPSYCH grant); Centre for Integrated Register -based Research at Aarhus University (CIRRAU); NordForsk, under the Nordic Programme on Health and Welfare (NordicWelfAir grant); Novo Nordisk Foundation (Big Data Centre for Environment and Health)(Novo Nordisk Foundation); National Institutes of Health(United States Department of Health &amp; Human ServicesNational Institutes of Health (NIH) - USA); Novo Nordisk Foundation(Novo Nordisk FoundationNovocure Limited); European Commission(European Union (EU)European Commission Joint Research Centre); Helsefonden</t>
  </si>
  <si>
    <t>The authors thank A. Timmerman and A.M. Closter for data administrative help. The study was funded by grants from Aarhus University Research Foundation (AUFF-E-2015-FLS-8-61), research training supplement from the Graduate School of Health Sciences at Aarhus University, and The Lundbeck Foundation (iPSYCH grant R102 -A9118 and R155-2014-1724). Data management was supported by Centre for Integrated Register -based Research at Aarhus University (CIRRAU). J.B., C.B.P., and C.G. are supported by NordForsk, under the Nordic Programme on Health and Welfare (NordicWelfAir grant 75007). C.B.P. and K.E. arc supported by the Novo Nordisk Foundation (Big Data Centre for Environment and Health, grant NNF170C0027864). J.B., C.B.P., M.T., and S.D. are supported by the National Institutes of Health (ROlES026993). S.D. is additionally supported by the Novo Nordisk Foundation (grant 22018), the European Commission (Horizon 2020, grant 667302), and Helsefonden (grant 19-8-0260).</t>
  </si>
  <si>
    <t>US DEPT HEALTH HUMAN SCIENCES PUBLIC HEALTH SCIENCE</t>
  </si>
  <si>
    <t>RES TRIANGLE PK</t>
  </si>
  <si>
    <t>NATL INST HEALTH, NATL INST ENVIRONMENTAL HEALTH SCIENCES, PO BOX 12233, RES TRIANGLE PK, NC 27709-2233 USA</t>
  </si>
  <si>
    <t>0091-6765</t>
  </si>
  <si>
    <t>1552-9924</t>
  </si>
  <si>
    <t>ENVIRON HEALTH PERSP</t>
  </si>
  <si>
    <t>Environ. Health Perspect.</t>
  </si>
  <si>
    <t>10.1289/EHP6729</t>
  </si>
  <si>
    <t>Environmental Sciences; Public, Environmental &amp; Occupational Health; Toxicology</t>
  </si>
  <si>
    <t>Environmental Sciences &amp; Ecology; Public, Environmental &amp; Occupational Health; Toxicology</t>
  </si>
  <si>
    <t>QE7FY</t>
  </si>
  <si>
    <t>WOS:000616373000013</t>
  </si>
  <si>
    <t>Prevlaence of ADHD disorder when factoring greeness around residences from ages 1-5</t>
  </si>
  <si>
    <t>Yes NVDI</t>
  </si>
  <si>
    <t xml:space="preserve">Ratio of ADHD to greeness </t>
  </si>
  <si>
    <t>Longitduinal cohort</t>
  </si>
  <si>
    <t>Vassiljev, P; Bell, S; Balicka, J; Amrita, UAA</t>
  </si>
  <si>
    <t>Vassiljev, Peeter; Bell, Simon; Balicka, Jekaterina; Amrita, Umme Aymona Ali</t>
  </si>
  <si>
    <t>Urban Blue Acupuncture: An Experiment on Preferences for Design Options Using Virtual Models</t>
  </si>
  <si>
    <t>urban acupuncture; virtual landscape models; landscape design; Tallinn; nature connectedness</t>
  </si>
  <si>
    <t>HUMAN HEALTH; VISUALIZATION; SPACES; GREEN; ENVIRONMENTS; RECOVERY; STRESS</t>
  </si>
  <si>
    <t>Within the BlueHealth project, funded under the Horizon 2020 European Union research framework, a number of targeted experimental design interventions created in virtual reality (VR) were used to test the effect and impact of planning and design on encouraging people to use various blue spaces. A set of designs in three different coastal landscape types-a cliff/steep slope; a sandy beach and an area of reed beds-located in Tallinn, Estonia, were used as the sites for nine different intervention designs. The designs were based on a combination of the site features and inspirations from solutions found in different locations internationally. Using 3D modelling and a Virtual Reality system, a set of nine videos, one to depict each intervention, was created and shown to a quota sample of 252 Estonian residents. Respondents were asked a set of questions associated with each option. The results were analysed statistically and qualitatively. The results uncovered key preferences for designs and revealed differences among age groups and the levels of personal interconnection with nature. However, there were problems associated with the interpretation and understanding of some of the options by some of the people due to the degree of realism of the VR representations, which may have affected the results. The project shows that VR could be a useful tool for testing design ideas as part of public participation approaches but that care is needed in ensuring that viewers understand what they are assessing.</t>
  </si>
  <si>
    <t>[Vassiljev, Peeter; Bell, Simon; Balicka, Jekaterina; Amrita, Umme Aymona Ali] Estonian Univ Life Sci, Inst Agr &amp; Environm Sci, EE-51006 Tartu, Estonia; [Bell, Simon] Univ Edinburgh, Edinburgh Sch Architecture &amp; Landscape Architectu, Edinburgh Coll Art, Edinburgh EH3 9DF, Midlothian, Scotland</t>
  </si>
  <si>
    <t>Estonian University of Life Sciences; 1EUROPE; University of Edinburgh; Edinburgh College of Art</t>
  </si>
  <si>
    <t>Vassiljev, P (corresponding author), Estonian Univ Life Sci, Inst Agr &amp; Environm Sci, EE-51006 Tartu, Estonia.</t>
  </si>
  <si>
    <t>peeter.vassiljev@emu.ee; simon.bell@emu.ee; jekaterina.balicka@emu.ee; arch.ku.amrita@gmail.com</t>
  </si>
  <si>
    <t>Bell, Simon/0000-0002-0986-3887; Vassiljev, Peeter/0000-0001-7432-5439</t>
  </si>
  <si>
    <t>European Union [666773]</t>
  </si>
  <si>
    <t>This project has received funding from the European Union's Horizon 2020 research and innovation programme under grant agreement No 666773.</t>
  </si>
  <si>
    <t>10.3390/su122410656</t>
  </si>
  <si>
    <t>PL6PJ</t>
  </si>
  <si>
    <t>Green Submitted, gold</t>
  </si>
  <si>
    <t>WOS:000603241000001</t>
  </si>
  <si>
    <t>Blue space preferences from A VR experience</t>
  </si>
  <si>
    <t>No (Virtual)</t>
  </si>
  <si>
    <t>videos VR and then survey</t>
  </si>
  <si>
    <t>Experimental/Observational</t>
  </si>
  <si>
    <t>both</t>
  </si>
  <si>
    <t>Garrett, JK; White, MP; Elliott, LR; Wheeler, BW; Fleming, LE</t>
  </si>
  <si>
    <t>Garrett, Joanne K.; White, Mathew P.; Elliott, Lewis R.; Wheeler, Benedict W.; Fleming, Lora E.</t>
  </si>
  <si>
    <t>Urban nature and physical activity: Investigating associations using self-reported and accelerometer data and the role of household income</t>
  </si>
  <si>
    <t>Physical activity; Health inequality; Blue space; Green space; Accelerometer</t>
  </si>
  <si>
    <t>GREEN SPACE; HEALTH SURVEY; RECREATIONAL VISITS; SEDENTARY BEHAVIOR; MENTAL-HEALTH; UNITED-STATES; ENVIRONMENTS; POPULATION; ENGLAND; INEQUALITIES</t>
  </si>
  <si>
    <t>Background: Physical inactivity is a major public health concern. Natural, or semi-natural, environments may encourage physical activity, but the influences of socio-economic factors have been under-researched. Methods: We explored the associations between meeting physical activity (PA) guidelines and both neighbourhood green (area coverage) and blue (freshwater coverage and coastal proximity) environments for urban adults using data from the Health Survey for England [HSE] (2008/2012). We considered different domains of selfreported PA: walking (n = 18,391), sports and other exercise (n = 18,438), non-recreational (domestic/gardening/occupational; n = 18,446) and all three domains combined (n = 18,447); as well as accelerometerderived PA data using a subsample (n = 1,774). Relationships were stratified by equivalised household income as an indicator of socio-economic status. Results: After adjusting for covariates, living &lt;5 km from the coast was associated with significantly higher odds of meeting UK 2010 guidelines through self-reported total, walking and non-recreational PA (e.g. total PA, &lt;5 km vs. &gt;20 km, adjusted odds ratio (ORadj) = 1.26; 95% confidence interval (CI) = 1.15-1.39) but unrelated to sports and exercise. Greater neighbourhood greenspace, however, was only associated with significantly higher odds of meeting guidelines through non-recreational PA alone (e.g. 80-100% vs. &lt;20% ORadj = 1.32; 95% CI = 1.12-1.56). Although associations were most consistent in the lowest income quintile, income-related results were mixed. Relationships were not replicated in the smaller accelerometry subsample. Conclusion: Our self-report findings for the differing domains of PA as a function of neighbourhood green and blue space broadly replicated previous research, yet the reasons for the observed differences between PA domains and environments remain unclear. We did not observe any associations between environmental variables and accelerometer-measured PA; further research with larger samples is needed.</t>
  </si>
  <si>
    <t>[Garrett, Joanne K.; White, Mathew P.; Elliott, Lewis R.; Wheeler, Benedict W.; Fleming, Lora E.] Univ Exeter, Sch Med, European Ctr Environm &amp; Human Hlth, Knowledge Spa,Royal Cornwall Hosp, Truro TR1 3HD, Cornwall, England</t>
  </si>
  <si>
    <t>Royal Cornwall Hospital; University of Exeter</t>
  </si>
  <si>
    <t>Garrett, JK (corresponding author), Univ Exeter, Sch Med, European Ctr Environm &amp; Human Hlth, Knowledge Spa,Royal Cornwall Hosp, Truro TR1 3HD, Cornwall, England.</t>
  </si>
  <si>
    <t>j.k.garrett@exeter.ac.uk</t>
  </si>
  <si>
    <t>Wheeler, Benedict/G-1711-2012; White, Mathew P/AAZ-4113-2021; Fleming, Lora E/ABH-1310-2021</t>
  </si>
  <si>
    <t>Wheeler, Benedict/0000-0001-9404-5936; Fleming, Lora E/0000-0003-1076-9967; Elliott, Lewis/0000-0003-3864-9465; White, Mathew Philip/0000-0002-4168-7289; Garrett, Joanne/0000-0003-0512-876X</t>
  </si>
  <si>
    <t>National Institute for Health Research Health Protection Research Unit (NIHR HPRU) in Environmental Change and Health at the London School of Hygiene and Tropical Medicine; Public Health England (PHE); University College London; Met Office; University of Exeter; BlueHealth project from the European Union [666773]</t>
  </si>
  <si>
    <t>National Institute for Health Research Health Protection Research Unit (NIHR HPRU) in Environmental Change and Health at the London School of Hygiene and Tropical Medicine; Public Health England (PHE); University College London; Met Office; University of Exeter; BlueHealth project from the European Union</t>
  </si>
  <si>
    <t>This work was supported by: the National Institute for Health Research Health Protection Research Unit (NIHR HPRU) in Environmental Change and Health at the London School of Hygiene and Tropical Medicine in partnership with Public Health England (PHE), and in collaboration with the University of Exeter, University College London, and the Met Office; and the BlueHealth project, which received funding from the European Union's Horizon 2020 research and innovation programme [grant agreement No.: 666773].</t>
  </si>
  <si>
    <t>10.1016/j.envres.2020.109899</t>
  </si>
  <si>
    <t>OC3OY</t>
  </si>
  <si>
    <t>WOS:000579068900004</t>
  </si>
  <si>
    <t>How living near blue and green space can allow people to meet recommended quotas of physical exercise (PA), inclduing socioeconomic status</t>
  </si>
  <si>
    <t>CEH lCM 2007 and Generalised Land Use Database (GLUD)</t>
  </si>
  <si>
    <t>Annual cross-section (2008 amd 2012)</t>
  </si>
  <si>
    <t>Brace, O; Garrido-Cumbrera, M; Foley, R; Correa-Fernandez, J; Suarez-Caceres, G; Lafortezza, R</t>
  </si>
  <si>
    <t>Brace, Olta; Garrido-Cumbrera, Marco; Foley, Ronan; Correa-Fernandez, Jose; Suarez-Caceres, Gina; Lafortezza, Raffaele</t>
  </si>
  <si>
    <t>Is a View of Green Spaces from Home Associated with a Lower Risk of Anxiety and Depression?</t>
  </si>
  <si>
    <t>anxiety; depression; urban green spaces; view from home</t>
  </si>
  <si>
    <t>LONG-TERM EXPOSURE; MENTAL-HEALTH; RESIDENTIAL GREEN; HOSPITAL ANXIETY; BLUE SPACES; URBAN; SATISFACTION; BENEFITS; WINDOW; RESTORATION</t>
  </si>
  <si>
    <t>Although a large body of research supports the theory that exposure to nature results in mental health benefits, research evidence on the effects of having a view of green space from home is still scarce. The aim of the present study is to assess the impact that access to a green space view from home has on anxiety and depression. This is a cross-sectional study extracting data from the 2018 Green Spaces, Daily Habits and Urban Health Survey conducted in Carmona (Spain). The study included variables on sociodemographic and lifestyle, view of green spaces from home, self-perceived health status, and risk of anxiety and depression measured using the Hospital Anxiety and Depression Scale (HADS). Chi-square tests were used to assess variable's associations and a multiple linear regression models used to identify the variables explaining the risk of anxiety and depression, taking into account sociodemographic characteristics, frequency of visits and view of green spaces from home. According to our results, adults who enjoy a view of green spaces from home have a lower risk of anxiety and depression.</t>
  </si>
  <si>
    <t>[Brace, Olta; Garrido-Cumbrera, Marco; Correa-Fernandez, Jose; Suarez-Caceres, Gina] Univ Seville, Dept Phys Geog &amp; Reg Geog Anal, Hlth &amp; Terr Res, Dona Maria de Padilla S-N, Seville 41004, Spain; [Foley, Ronan] Maynooth Univ, Dept Geog, Maynooth W23 F2H6, Kildare, Ireland; [Lafortezza, Raffaele] Univ Bari Aldo Moro, Dept Agr &amp; Environm Sci, I-70126 Bari, Italy; [Lafortezza, Raffaele] Univ Hong Kong, Dept Geog, Hong Kong, Peoples R China</t>
  </si>
  <si>
    <t>University of Sevilla; Maynooth University; Universita degli Studi di Bari Aldo Moro; University of Hong Kong</t>
  </si>
  <si>
    <t>Garrido-Cumbrera, M (corresponding author), Univ Seville, Dept Phys Geog &amp; Reg Geog Anal, Hlth &amp; Terr Res, Dona Maria de Padilla S-N, Seville 41004, Spain.</t>
  </si>
  <si>
    <t>htr@us.es; mcumbrera@us.es; ronan.foley@mu.ie; htr3@us.es; gina.suarez.ca@gmail.com; raffaele.lafortezza@uniba.it</t>
  </si>
  <si>
    <t>Braçe, Olta/AAA-8879-2021; Lafortezza, Raffaele/G-2104-2018</t>
  </si>
  <si>
    <t>Braçe, Olta/0000-0001-6335-5085; Lafortezza, Raffaele/0000-0003-4642-8435; Suarez-Caceres, Gina Patricia/0000-0002-2248-0936; Correa-Fernandez, Jose/0000-0002-7788-5391; Foley, Ronan/0000-0001-6550-1410</t>
  </si>
  <si>
    <t>10.3390/ijerph17197014</t>
  </si>
  <si>
    <t>ON1WB</t>
  </si>
  <si>
    <t>WOS:000586499200001</t>
  </si>
  <si>
    <t xml:space="preserve">How a view from home can influence depression </t>
  </si>
  <si>
    <t>Door to door questionnaire</t>
  </si>
  <si>
    <t>Kwak, Y; Park, C; Deal, B</t>
  </si>
  <si>
    <t>Kwak, Yoonshin; Park, Chan; Deal, Brian</t>
  </si>
  <si>
    <t>Discerning the success of sustainable planning: A comparative analysis of urban heat island dynamics in Korean new towns</t>
  </si>
  <si>
    <t>SUSTAINABLE CITIES AND SOCIETY</t>
  </si>
  <si>
    <t>Surface urban heat islands (SUHI); Land surface temperatures (LST); Korean new towns; Remote sensing; K-mean clustering; Sustainable planning</t>
  </si>
  <si>
    <t>LAND-SURFACE TEMPERATURE; WATER INDEX NDWI; AIR-TEMPERATURE; TEMPORAL VARIATIONS; IMPERVIOUS SURFACE; USE/LAND COVER; CITY; IMPACT; LANDSCAPE; URBANIZATION</t>
  </si>
  <si>
    <t>UHI is an important measure for understanding the urban landscape, especially in terms of thermal agglomeration and disturbance. This research aims to discern the success of sustainability planning by examining and comparing the different characteristics of UHIs through the combination of machine learning and statistical methods. To achieve this, we analyze 4 new towns in Korea, which include two 'old' new towns and two 'recent' new towns. The key difference between our test towns lies on whether or not the sustainability policies were applied to their development plans. We visualize LST and conduct a k-mean clustering to find and quantify spatial patterning in the resulting UHI measures. We then compare the statistical relations between LST and 6 UHI driven variables across the towns. Using comparative analysis, this research reveals that sustainable development policies have a notable effect on the patterns and intensities of UHI. Urban structures, planned under development policies, including green and blue space ratios, road networks, and housing distributions, were found to affect UHI significantly. We quantifiably confirm that the sustainability policies implemented in planning the 'recent' new towns allow the towns to experience less aggravated UHIs than the 'old' new towns. However, we also claim a need to develop appropriate, long-term UHI management regulations for the 'recent' new towns. This paper provides a solid basis for improving Korean new town planning and managing the environmental issues in urban systems for planners, designers, and decision-makers to establish the sustainable built environment.</t>
  </si>
  <si>
    <t>[Kwak, Yoonshin; Deal, Brian] Univ Illinois, Dept Landscape Architecture, Champaign, IL USA; [Park, Chan] Univ Seoul, Dept Landscape Architecture, Seoul, South Korea</t>
  </si>
  <si>
    <t>University of Illinois System; University of Illinois Urbana-Champaign; University of Seoul</t>
  </si>
  <si>
    <t>Park, C (corresponding author), Univ Seoul, Dept Landscape Architecture, Seoul, South Korea.</t>
  </si>
  <si>
    <t>yk23@illinois.edu; chaneparkmomo7@uos.ac.kr; deal@illinois.edu</t>
  </si>
  <si>
    <t>Kwak, Yoonshin/0000-0002-3132-3780</t>
  </si>
  <si>
    <t>Korea Environment Industry &amp; Technology Institute (KEITI) through its Urban Ecological Health Promotion Technology Development Project - Korea Ministry of Environment (MOE) [2019002760001]</t>
  </si>
  <si>
    <t>Korea Environment Industry &amp; Technology Institute (KEITI) through its Urban Ecological Health Promotion Technology Development Project - Korea Ministry of Environment (MOE)</t>
  </si>
  <si>
    <t>This work was conducted with the support of the Korea Environment Industry &amp; Technology Institute (KEITI) through its Urban Ecological Health Promotion Technology Development Project, and funded by the Korea Ministry of Environment (MOE) (2019002760001)</t>
  </si>
  <si>
    <t>2210-6707</t>
  </si>
  <si>
    <t>2210-6715</t>
  </si>
  <si>
    <t>SUSTAIN CITIES SOC</t>
  </si>
  <si>
    <t>Sust. Cities Soc.</t>
  </si>
  <si>
    <t>10.1016/j.scs.2020.102341</t>
  </si>
  <si>
    <t>Construction &amp; Building Technology; Green &amp; Sustainable Science &amp; Technology; Energy &amp; Fuels</t>
  </si>
  <si>
    <t>Construction &amp; Building Technology; Science &amp; Technology - Other Topics; Energy &amp; Fuels</t>
  </si>
  <si>
    <t>NU3ZN</t>
  </si>
  <si>
    <t>WOS:000573582000004</t>
  </si>
  <si>
    <t>UHI  in urban design</t>
  </si>
  <si>
    <t>how urban design can improve human halth by mitigating effects of the UHI</t>
  </si>
  <si>
    <t>Korea</t>
  </si>
  <si>
    <t>Teubner, K; Teubner, I; Pall, K; Kabas, W; Tolotti, M; Ofenbock, T; Dokulil, MT</t>
  </si>
  <si>
    <t>Teubner, Katrin; Teubner, Irene; Pall, Karin; Kabas, Wilfried; Tolotti, Monica; Ofenboeck, Thomas; Dokulil, Martin T.</t>
  </si>
  <si>
    <t>New Emphasis on Water Transparency as Socio-Ecological Indicator for Urban Water: Bridging Ecosystem Service Supply and Sustainable Ecosystem Health</t>
  </si>
  <si>
    <t>urban green-blue space; recreational lake area; oxbow lake restoration; Secchi depth; threshold light requirement; phytoplankton; aquatic plants; climate change</t>
  </si>
  <si>
    <t>MACROPHYTE STRATIOTES-ALOIDES; LAKE BALATON HUNGARY; SECCHI DISK DEPTH; LONG-TERM CHANGES; SHALLOW LAKES; CLIMATE-CHANGE; SUBMERGED MACROPHYTES; PLANKTOTHRIX-RUBESCENS; PHYTOPLANKTON ASSEMBLAGES; ECOLOGICAL QUALITY</t>
  </si>
  <si>
    <t>The perspective on water transparency changed since the early days of limnology from being a physical parameter of optical water property to an ecological indicator tracking algal turbidity due to eutrophication or an overall success of sustained lake restoration in the late 60ies to 80ies. In modern cities, where ecosystems are commonly deteriorated by man-made modifications, water transparency offers a great opportunity to the public to raise socio-ecological consciousness concerning urban green-blue spaces. We thus re-emphasize water transparency as a key indicator of multi-functional value when assessing an oxbow lake of the riverine floodplain in Vienna, the Alte Donau. Our study covers the eutrophication from 1987 to 1994 due to the inclusion of the riverine landscape in the urban area, the following lake restoration with an ecosystem shift from a nutrient-rich, algal-turbid water body to a nutrient-poor, clear-water macrophyte controlled system and the impact of global warming in recent decades. We used light attenuation profiles to identify depth layers of specific ambient light requirements for photosynthetic domains (phytoplankton and submerged macrophytes), and to interpret Secchi measurements. Here, we calculated the depth at 1% (minimum light requirements for phytoplankton growth as euphotic depth), 3% (minimum light requirements for macrophytes as maximum macrophyte colonization depth), and 12% (preferred light requirements for phytoplankton development) of surface ambient light. A Secchi disk water transparency of 1.5 m (lake bottom view), judged as good water quality by human perception, refers to mesotrophic conditions with a maximum colonization depth for macrophytes exceeding the mean lake depth in Alte Donau. Water clarity required for sustained macrophyte growth, in particular for favoring bottom-dwellingCharameadows instead of tall-growingMyriophyllum spicatum, is 3.5 m Secchi depth and thus exceeds by far water clarity requested due to bathing aesthetics. Global warming, mirrored by an advanced warming in spring seems to favor significantly a higher yield of macrophytes mainly built up byMyriophyllumat the expense of the yield of algae. The prolongation of the summer period above 21 degrees C, however, coincides with lowered Secchi transparency. Water visibility during the hot season thus seems to be slightly hampered against lake restoration efforts by global warming.</t>
  </si>
  <si>
    <t>[Teubner, Katrin] Univ Vienna, Dept Funct &amp; Evolutionary Ecol, Fac Life Sci, Vienna, Austria; [Teubner, Irene] TU Wien, Dept Geodesy &amp; Geoinformat, Res Grp Climate &amp; Environm Remote Sensing, Vienna, Austria; [Teubner, Irene] Zentralanstalt Meteorol &amp; Geodynam, Div Customer Serv, Climatol Sect, Vienna, Austria; [Pall, Karin] Systema GmbH, Vienna, Austria; [Kabas, Wilfried] Univ Vienna, Fac Life Sci, Dept Limnol &amp; Biooceanog, Vienna, Austria; [Tolotti, Monica] Fdn Edmund Mach, Res &amp; Innovat Ctr, Dept Sustainable Agroecosyst &amp; Bioresources, San Michele All Adige, Italy; [Ofenboeck, Thomas] Vienna City Adm, Municipal Dept Water Management 45, Vienna, Austria; [Dokulil, Martin T.] Univ Innsbruck, Res Dept Limnol, Mondsee, Austria</t>
  </si>
  <si>
    <t>University of Vienna; Technische Universitat Wien; University of Vienna; Fondazione Edmund Mach; University of Innsbruck</t>
  </si>
  <si>
    <t>Teubner, K (corresponding author), Univ Vienna, Dept Funct &amp; Evolutionary Ecol, Fac Life Sci, Vienna, Austria.</t>
  </si>
  <si>
    <t>Katrin.Teubner@univie.ac.at</t>
  </si>
  <si>
    <t>Teubner, Katrin/AAC-1224-2021; Tolotti, Monica/D-4441-2018</t>
  </si>
  <si>
    <t>Teubner, Katrin/0000-0002-3699-2043; Tolotti, Monica/0000-0003-2674-8597</t>
  </si>
  <si>
    <t>City of Vienna, Municipal Department - 45 (Water Management)</t>
  </si>
  <si>
    <t>This study was funded and promoted in many ways by the City of Vienna, Municipal Department - 45 (Water Management).</t>
  </si>
  <si>
    <t>OCT 1</t>
  </si>
  <si>
    <t>10.3389/fenvs.2020.573724</t>
  </si>
  <si>
    <t>OD1BH</t>
  </si>
  <si>
    <t>WOS:000579588300001</t>
  </si>
  <si>
    <t xml:space="preserve">How restoartion of freshwater urban ecosystems can enhance ecosystem services </t>
  </si>
  <si>
    <t>How urabn water bodes provide services when restored</t>
  </si>
  <si>
    <t>Austria (Vienna)</t>
  </si>
  <si>
    <t>Varanasi, U</t>
  </si>
  <si>
    <t>Varanasi, Usha</t>
  </si>
  <si>
    <t>Focusing Attention on Reciprocity Between Nature and Humans Can Be the Key to Reinvigorating Planetary Health</t>
  </si>
  <si>
    <t>ECOPSYCHOLOGY</t>
  </si>
  <si>
    <t>Nature; Green and blue space; Reciprocal healing; Human health; Health benefits; Wilderness; Planetary health; Ecosystems</t>
  </si>
  <si>
    <t>BENEFITS; SCIENCE</t>
  </si>
  <si>
    <t>In industrialized and urbanized societies, medical science focuses primarily on trauma and diseases, and most environmental work attempts to remediate natural and anthropogenic degradation. This essay raises the importance of shifting individual and societal attention to preventive and precautionary measures to maintain human and ecological health. It points to the growing body of research that nature (wilderness to green and blue space) is necessary for people's physical, mental, and emotional health. Such evidence should persuade the public and policymakers to proactively conserve ecosystems, reducing the need to rescue depleted species or repair and restore their degraded habitats. This paper also describes the creative tension between the need for evidence-based research to demonstrate the health benefits of nature, which can lead to public health policies that make nature exposure widely accessible, and the need to ensure that nature is not viewed merely as a service provider from which humans can continue to extract health benefits. The author suggests that a drastic change is needed in the prevailing attitude of dominance over nature. This essay concludes with a plea for focused attention on reciprocal healing of both nature and humans, which can occur only if our interaction with nature-be it wilderness, an urban park, or a garden-is sustained and respectful. The author suggests that the nature-and-health paradigm may be the game-changing strategy needed to sustain grassroots awareness for halting and hopefully reversing the trajectory of decline in planetary health.</t>
  </si>
  <si>
    <t>[Varanasi, Usha] Univ Washington, Coll Environm, 1122 NE Boat St,Box 355020, Seattle, WA 98195 USA</t>
  </si>
  <si>
    <t>University of Washington; University of Washington Seattle</t>
  </si>
  <si>
    <t>Varanasi, U (corresponding author), Univ Washington, Coll Environm, 1122 NE Boat St,Box 355020, Seattle, WA 98195 USA.</t>
  </si>
  <si>
    <t>ushav@uw.edu</t>
  </si>
  <si>
    <t>MARY ANN LIEBERT, INC</t>
  </si>
  <si>
    <t>NEW ROCHELLE</t>
  </si>
  <si>
    <t>140 HUGUENOT STREET, 3RD FL, NEW ROCHELLE, NY 10801 USA</t>
  </si>
  <si>
    <t>1942-9347</t>
  </si>
  <si>
    <t>Ecopsychology</t>
  </si>
  <si>
    <t>10.1089/eco.2020.0011</t>
  </si>
  <si>
    <t>NQ7PU</t>
  </si>
  <si>
    <t>WOS:000571062300006</t>
  </si>
  <si>
    <t>New ways of thinking</t>
  </si>
  <si>
    <t>NA</t>
  </si>
  <si>
    <t>Engemann, K; Svenning, JC; Arge, L; Brandt, J; Erikstrup, C; Geels, C; Hertel, O; Mortensen, PB; Plana-Ripoll, O; Tsirogiannis, C; Sabel, CE; Sigsgaard, T; Pedersen, CB</t>
  </si>
  <si>
    <t>Engemann, Kristine; Svenning, Jens-Christian; Arge, Lars; Brandt, Jorgen; Erikstrup, Christian; Geels, Camilla; Hertel, Ole; Mortensen, Preben Bo; Plana-Ripoll, Oleguer; Tsirogiannis, Constantinos; Sabel, Clive E.; Sigsgaard, Torben; Pedersen, Carsten Bocker</t>
  </si>
  <si>
    <t>Associations between growing up in natural environments and subsequent psychiatric disorders in Denmark</t>
  </si>
  <si>
    <t>Air pollution; Green space; Mental health; Psychological ecosystem services; Remote sensing</t>
  </si>
  <si>
    <t>AIR-POLLUTION; GREEN SPACES; HEALTH-BENEFITS; MENTAL-HEALTH; URBAN; EXPOSURE; MODEL; RISK</t>
  </si>
  <si>
    <t>Natural environments have been associated with mental health benefits worldwide. However, how different elements and types of natural environments associate with mental health is still largely unknown. In this study, we perform a detailed analysis on a large, nation-wide data set of mental health records (908 553 individuals) for Denmark combined with remotely-sensed land cover and vegetation density data. We explore associations between growing up surrounded by different environments and rates of a spectrum of 18 psychiatric disorders. Childhood land cover exposure for urban, agricultural, near-natural green space, and blue space was determined around the residence of each individual. Vegetation density and air pollution were evaluated as potential pathways. Cox proportional hazards models were used to estimate rates as hazard ratios and then adjusted for potential confounding from other known risk factors. For 12 of 18 disorders, rates were lower for children growing up in environments with more natural elements (near-natural green space, blue space, and agriculture) compared to children growing up in urban environments. High vegetation density was associated with lower rates for most disorders within all the examined environments, whereas mitigation of air pollution by natural environments seemed a less important potential pathway. Rates were not notably changed by adjustment for urbanization, parental and municipal socioeconomic status, family history of mental illness, and parents' age. In conclusion, we found that growing up surrounded by a range of natural environments such as near-natural green space, blue space, and agriculture may lower rates of psychiatric disorders. Our results show the importance of ensuring access to natural environments from as nature-based solutions for improved public health and sustainable, livable cities.</t>
  </si>
  <si>
    <t>[Engemann, Kristine; Svenning, Jens-Christian] Aarhus Univ, Dept Biosci, Sect Ecoinformat &amp; Biodivers, Ny Munkegade 116, DK-8000 Aarhus C, Denmark; [Engemann, Kristine; Svenning, Jens-Christian] Aarhus Univ, Ctr Biodivers Dynam Changing World BIOCHANGE, DK-8000 Aarhus C, Denmark; [Engemann, Kristine; Mortensen, Preben Bo; Pedersen, Carsten Bocker] Aarhus Univ, Ctr Integrated Register Based Res CIRRAU, DK-8210 Aarhus V, Denmark; [Engemann, Kristine; Erikstrup, Christian; Hertel, Ole; Sabel, Clive E.; Sigsgaard, Torben; Pedersen, Carsten Bocker] Aarhus Univ, Big Data Ctr Environm &amp; Hlth BERTHA, DK-8210 Aarhus V, Denmark; [Arge, Lars; Tsirogiannis, Constantinos] Aarhus Univ, Dept Comp Sci, Ctr Mass Data Algorithm MADALGO, DK-8200 Aarhus N, Denmark; [Brandt, Jorgen; Geels, Camilla; Hertel, Ole; Sabel, Clive E.] Aarhus Univ, Dept Environm Sci, DK-4000 Roskilde, Denmark; [Erikstrup, Christian] Aarhus Univ, Dept Clin Med, Aarhus, Denmark; [Mortensen, Preben Bo; Plana-Ripoll, Oleguer; Pedersen, Carsten Bocker] Aarhus Univ, Natl Ctr Register Based Res, Dept Econ &amp; Business Econ, DK-8210 Aarhus V, Denmark; [Mortensen, Preben Bo; Pedersen, Carsten Bocker] Aarhus Univ, Lundbeck Fdn Initiat Integrat Psychiat Res iPSYCH, DK-8210 Aarhus V, Denmark; [Sigsgaard, Torben] Aarhus Univ, Dept Publ Hlth, Aarhus, Denmark</t>
  </si>
  <si>
    <t>Aarhus University; Aarhus University; Aarhus University; Aarhus University; Aarhus University; Aarhus University; Aarhus University; Aarhus University; Aarhus University; Lundbeck Foundation Initiative for Integrative Psychiatric Research (iPSYCH); Aarhus University</t>
  </si>
  <si>
    <t>Engemann, K (corresponding author), Aarhus Univ, Dept Biosci, Sect Ecoinformat &amp; Biodivers, Ny Munkegade 116, DK-8000 Aarhus C, Denmark.</t>
  </si>
  <si>
    <t>engemann@bios.au.dk; svenning@bios.au.dk; large@cs.au.dk; jbr@envs.au.dk; christian.erikstrup@skejby.rm.dk; cag@envs.au.dk; oh@envs.au.dk; pbm@econ.au.dk; opr@econ.au.dk; tsirogiannis.c@gmail.com; cs@envs.au.dk; ts@ph.au.dk; cbp@econ.au.dk</t>
  </si>
  <si>
    <t>Sabel, Clive E/A-5541-2012; Brandt, Jørgen/B-3733-2011; Pedersen, Carsten Bøcker/B-8441-2013; Geels, Camilla/G-4757-2013; Plana-Ripoll, Oleguer/E-1448-2015; Svenning, Jens-Christian/C-8977-2012; Raaschou-Nielsen, Ole/GOK-0338-2022; Hertel, Ole/L-4346-2013</t>
  </si>
  <si>
    <t>Brandt, Jørgen/0000-0002-7580-9547; Pedersen, Carsten Bøcker/0000-0003-2077-8533; Geels, Camilla/0000-0003-2549-1750; Plana-Ripoll, Oleguer/0000-0002-6470-7465; Svenning, Jens-Christian/0000-0002-3415-0862; Raaschou-Nielsen, Ole/0000-0002-1223-0909; Hertel, Ole/0000-0003-0972-7735; Sabel, Clive/0000-0001-9180-4861; Erikstrup, Christian/0000-0001-6551-6647; Sigsgaard, Torben/0000-0002-2043-7571</t>
  </si>
  <si>
    <t>Lundbeck Foundation Denmark [R102-A9118, R155-2014-1724]; Stanley Medical Research Institute; Danish Big Data Centre for Environment and Health - Novo Nordisk Foundation Challenge Programme [NNF17OC0027864]; NordForsk project NordicWelfAir [75007]; European Union [837180]; VILLUM FONDEN [16549]</t>
  </si>
  <si>
    <t>Lundbeck Foundation Denmark(Lundbeckfonden); Stanley Medical Research Institute; Danish Big Data Centre for Environment and Health - Novo Nordisk Foundation Challenge Programme(Novo Nordisk Foundation); NordForsk project NordicWelfAir; European Union(European Union (EU)); VILLUM FONDEN(Villum Fonden)</t>
  </si>
  <si>
    <t>This study was supported by The Lundbeck Foundation Denmark (grant no R102-A9118 and R155-2014-1724), the Stanley Medical Research Institute, and BERTHA - the Danish Big Data Centre for Environment and Health funded by the Novo Nordisk Foundation Challenge Programme (grant NNF17OC0027864). Part of the work was funded by the NordForsk project NordicWelfAir (Project #75007: Understanding the link between Air pollution and Distribution of related Health Impacts and Welfare in the Nordic countries). JCS considers this work a contribution to his VILLUM Investigator project Biodiversity Dynamics in a Changing World funded by VILLUM FONDEN (grant 16549). OP-R has received funding from the European Union's Horizon 2020 research and innovation programme under the Marie Sklodowska-Curie grant agreement No 837180.</t>
  </si>
  <si>
    <t>10.1016/j.envres.2020.109788</t>
  </si>
  <si>
    <t>NH4OS</t>
  </si>
  <si>
    <t>WOS:000564651700003</t>
  </si>
  <si>
    <t>How different environmental factors play a role in childhood development and pychiatric disorders</t>
  </si>
  <si>
    <t>how environmental factors could act as predictors for mental health disorders</t>
  </si>
  <si>
    <t>longitudinal datasets</t>
  </si>
  <si>
    <t>Labib, SM; Lindley, S; Huck, JJ</t>
  </si>
  <si>
    <t>Labib, S. M.; Lindley, Sarah; Huck, Jonny J.</t>
  </si>
  <si>
    <t>Scale effects in remotely sensed greenspace metrics and how to mitigate them for environmental health exposure assessment</t>
  </si>
  <si>
    <t>COMPUTERS ENVIRONMENT AND URBAN SYSTEMS</t>
  </si>
  <si>
    <t>Urban; Greenness exposure; Health; GIS; Buffer distance; Lacunarity</t>
  </si>
  <si>
    <t>AREAL UNIT PROBLEM; ECOSYSTEM SERVICES; LACUNARITY ANALYSIS; BUILT ENVIRONMENT; PHYSICAL-ACTIVITY; BLUE SPACES; ASSOCIATIONS; GREENNESS; NEIGHBORHOOD; INFRASTRUCTURE</t>
  </si>
  <si>
    <t>Metrics representing exposure to the natural environment are widely used in environmental health-related studies. They are calculated using a variety of different data sources representing greenspace and a range of buffer sizes representing human interaction with the environment. Previous studies have identified issues relating to buffer distance and scaling effects on greenspace exposure assessments when using satellite image-derived metrics. We evaluate the spatial scale sensitivity of three common greenspace metrics (i.e., Normalised Difference Vegetation Index- NDVI, Leaf Area Index- LAI, and Land Use and Land Cover-LULC), using lacunarity analysis, as a scale-dependent measure of heterogeneity based on the principles of fractals. By producing a lacunarity curve' across multiple spatial scales, we defined the scale-variances for specific greenspace metrics, including the upper scale limit at which the metrics become invariant, approximately 640 m for Sentinel-2 and 480 m for Landsat-8. Each of the greenspace metrics we considered exhibited scale sensitivities, meaning that each is expected to have a different influence on the strength and significance of the statistical associations found between greenspace exposure and health depending on the spatial scale of analysis (e.g., buffer distance). Using lacunarity curves, we produced a novel composite, multi-scale greenspace 'exposure index' in which each input scale is weighted according to its relative scale sensitivity. We also created a multi-scale, multi-metric map combining the different vegetation measures while accounting for scale. We found that cumulative exposure gradients across a large urban conurbation are even more marked when using our multi-scale 'exposure index' maps compared to traditional approaches. Our multi-scale, composite greenspace 'exposure index' mapping techniques are not as vulnerable to scale effects as traditional approaches and can be readily transferred to the analysis of other environmental exposure variables such as air pollution.</t>
  </si>
  <si>
    <t>[Labib, S. M.; Lindley, Sarah; Huck, Jonny J.] Univ Manchester, Sch Environm Educ &amp; Dev SEED, Dept Geog, Arthur Lewis Bldg 1st Floor,Oxford Rd, Manchester M13 9PL, Lancs, England</t>
  </si>
  <si>
    <t>N8 Research Partnership; University of Manchester</t>
  </si>
  <si>
    <t>Labib, SM (corresponding author), Univ Manchester, Sch Environm Educ &amp; Dev SEED, Dept Geog, Arthur Lewis Bldg 1st Floor,Oxford Rd, Manchester M13 9PL, Lancs, England.</t>
  </si>
  <si>
    <t>sm.labib@manchester.ac.uk; sarah.lindley@manchester.ac.uk; jonathan.huck@manchester.ac.uk</t>
  </si>
  <si>
    <t>Labib, S M/R-9014-2019; Lindley, Sarah/O-4284-2014</t>
  </si>
  <si>
    <t>Labib, S M/0000-0002-4127-2075; Lindley, Sarah/0000-0003-0581-4284; Huck, Jonathan/0000-0003-4295-3646</t>
  </si>
  <si>
    <t>School of Environment, Education and Development Postgraduate Research Scholarship at the University of Manchester; Natural Environment Research Council; Arts and Humanities Research Council; Economic and Social Research Council under the Valuing Nature Programme. NERC [NE/N013530/1]; MRC [MR/P02663X/1] Funding Source: UKRI; NERC [NE/N013530/1] Funding Source: UKRI</t>
  </si>
  <si>
    <t>School of Environment, Education and Development Postgraduate Research Scholarship at the University of Manchester; Natural Environment Research Council(UK Research &amp; Innovation (UKRI)Natural Environment Research Council (NERC)); Arts and Humanities Research Council(UK Research &amp; Innovation (UKRI)Arts &amp; Humanities Research Council (AHRC)); Economic and Social Research Council under the Valuing Nature Programme. NERC; MRC(UK Research &amp; Innovation (UKRI)Medical Research Council UK (MRC)); NERC(UK Research &amp; Innovation (UKRI)Natural Environment Research Council (NERC))</t>
  </si>
  <si>
    <t>The authors would like to thank the anonymous reviewers and editors of this paper for their constructive comments and suggestions. S.M. Labib is funded by the School of Environment, Education and Development Postgraduate Research Scholarship at the University of Manchester. Elements of this work were carried out as part of the Green Infrastructure and the Health and Well-Being Influences on an Ageing Population (GHIA) project (2016-2019) http://www.ghia.org.uk.This project is funded by the Natural Environment Research Council, the Arts and Humanities Research Council and the Economic and Social Research Council under the Valuing Nature Programme. NERC grant reference number NE/N013530/1.</t>
  </si>
  <si>
    <t>0198-9715</t>
  </si>
  <si>
    <t>1873-7587</t>
  </si>
  <si>
    <t>COMPUT ENVIRON URBAN</t>
  </si>
  <si>
    <t>Comput. Environ. Urban Syst.</t>
  </si>
  <si>
    <t>10.1016/j.compenvurbsys.2020.101501</t>
  </si>
  <si>
    <t>Computer Science, Interdisciplinary Applications; Engineering, Environmental; Environmental Studies; Geography; Operations Research &amp; Management Science; Regional &amp; Urban Planning</t>
  </si>
  <si>
    <t>Computer Science; Engineering; Environmental Sciences &amp; Ecology; Geography; Operations Research &amp; Management Science; Public Administration</t>
  </si>
  <si>
    <t>MA7FY</t>
  </si>
  <si>
    <t>WOS:000542079600006</t>
  </si>
  <si>
    <t>How advanced green space metrics can better quanitfy green space exposure across metrics, including socioeconomic factors</t>
  </si>
  <si>
    <t>Multiple for comparison</t>
  </si>
  <si>
    <t>UK (Manchester)</t>
  </si>
  <si>
    <t>Jarvis, I; Koehoorn, M; Gergel, SE; van den Bosch, M</t>
  </si>
  <si>
    <t>Jarvis, Ingrid; Koehoorn, Mieke; Gergel, Sarah E.; van den Bosch, Matilda</t>
  </si>
  <si>
    <t>Different types of urban natural environments influence various dimensions of self-reported health</t>
  </si>
  <si>
    <t>Greenspace; Blue space; Urban parks; Mental health; Healthy cities</t>
  </si>
  <si>
    <t>LONG-TERM EXPOSURE; GREEN SPACE; MENTAL-HEALTH; PUBLIC-HEALTH; BLUE SPACES; OUTDOOR ENVIRONMENTS; LIVING ENVIRONMENT; GENDER-DIFFERENCES; RESIDENTIAL GREEN; GENERAL HEALTH</t>
  </si>
  <si>
    <t>Background: Growing evidence suggests health benefits of natural environments. Yet, the effects of different types of natural environments (vegetation and water features) and forms of human-nature contact (access versus exposure) remain relatively unexplored. Methods: A cross-sectional observational survey was used to analyse the relationship between both access and exposure to different types of urban natural environments and health outcomes in Metro Vancouver, Canada. Data for health outcomes (self-reported general health, mental health, and common mental disorders) and key confounders were obtained from the 2013-2014 Canadian Community Health Survey. Natural environments were quantified using local land use and land cover data, and linked to survey respondents by six-digit postal code. Access was defined as living within 300 m of a public greenspace (&gt;= 1 hectare) and exposure as the percentage of different land cover types within multiple buffer distances of postal code centroids. Separate logistic regression models were used to estimate the associations of the access and exposure metrics with the three health outcomes. Results: Exposure to water within 1,000 m buffers was associated with a reduced odds of reporting poor general health (OR = 0.982, 95% CI = 0.965, 0.999). A similar association was found for exposure to shrub and grass-herb vegetation types for reported mental health and common mental disorder, respectively (OR = 0.741, 95% CI = 0.576, 0.953 for shrubs in 250 m; OR = 0.737, 95% CI = 0.577, 0.942 for shrubs in 500 m; OR = 0.731, 95% CI = 0.570, 0.938 for shrubs in 1,000 m; OR = 0.980, 95% CI = 0.965, 0.995 for grass-herbs in 250 m). Neither access to public greenspace nor aggregated greenspace exposure were associated with self-reported health. Results from stratified analyses suggest that observed associations between human-nature contact and self-reported health differ according to gender. Conclusions: Results suggest that type of natural environment should be considered in future research studying the health-promoting aspects of natural environments, and that positive health effects may be more consistent for daily life exposure than for access to public greenspace.</t>
  </si>
  <si>
    <t>[Jarvis, Ingrid; Gergel, Sarah E.; van den Bosch, Matilda] Univ British Columbia, Dept Forest &amp; Conservat Sci, 2424 Main Mall, Vancouver, BC V6T 1Z4, Canada; [Koehoorn, Mieke; van den Bosch, Matilda] Univ British Columbia, Sch Populat &amp; Publ Hlth, 2206 East Mall, Vancouver, BC V6T 1Z3, Canada</t>
  </si>
  <si>
    <t>University of British Columbia; University of British Columbia</t>
  </si>
  <si>
    <t>Jarvis, I (corresponding author), 3621-2424 Main Mall, Vancouver, BC V6T 1Z4, Canada.</t>
  </si>
  <si>
    <t>ingrid.jarvis@ubc.ca</t>
  </si>
  <si>
    <t>van den Bosch, Matilda/F-1550-2013</t>
  </si>
  <si>
    <t>van den Bosch, Matilda/0000-0003-1410-0099</t>
  </si>
  <si>
    <t>Natural Sciences and Engineering Research Council of Canada [538545]; Canadian Institutes of Health Research [156152]</t>
  </si>
  <si>
    <t>Natural Sciences and Engineering Research Council of Canada(Natural Sciences and Engineering Research Council of Canada (NSERC)CGIAR); Canadian Institutes of Health Research(Canadian Institutes of Health Research (CIHR))</t>
  </si>
  <si>
    <t>This work was supported by the Natural Sciences and Engineering Research Council of Canada [grant number 538545]; and the Canadian Institutes of Health Research [grant number 156152].</t>
  </si>
  <si>
    <t>10.1016/j.envres.2020.109614</t>
  </si>
  <si>
    <t>MJ6GM</t>
  </si>
  <si>
    <t>WOS:000548186300122</t>
  </si>
  <si>
    <t>Ganzleben, C; Kazmierczak, A</t>
  </si>
  <si>
    <t>Ganzleben, Catherine; Kazmierczak, Aleksandra</t>
  </si>
  <si>
    <t>Leaving no one behind - understanding environmental inequality in Europe</t>
  </si>
  <si>
    <t>ENVIRONMENTAL HEALTH</t>
  </si>
  <si>
    <t>Environment; Health; Well-being; Inequality; Stressors; Benefits</t>
  </si>
  <si>
    <t>The European Union aims to deliver a healthy environment to its citizens, with significant progress achieved in tackling key environmental stressors in recent decades. At the same time, significant risks to health remain from air, soil and water pollution, noise, chemicals and the impacts of climate change. High quality environments - such as urban areas rich in green and blue spaces - offer significant benefits to health. The unequal distribution of these risks and benefits across society, whereby socially disadvantages groups are more likely to live in poorer environmental conditions, contributes to health inequity across Europe. The European Environment Agency (EEA) is exploring how environmental risks and benefits are distributed across society. Recent evidence produced by EEA indicated that poorer European regions are more likely to be exposed to environmental health hazards at levels that negatively affect health. At country level, the disproportionate exposure of lower socio-economic groups to air pollution, noise and high temperatures is seen in urban areas. We also see inequality in terms of who generates pollution and who suffers the consequences. While poorer countries are likely to be worse affected by climate change, high incomes are linked to high carbon footprints across Europe. Quality environments offer benefits to health, in particular in urban areas, and can contribute to reducing health inequalities. Environmental inequality also plays out across generations, whereby future generations will have to tackle environmental degradation resulting from the activities of past and current populations, such as the accumulation of persistent chemicals in the environment, biodiversity loss and climate change. New opportunities exist to explore the complex linkages between environmental quality, socio-economic status, and health and well-being. These include combining existing data from across these domains with data from new sources, such as citizen science initiatives, smart phones, social media and satellite observation data. Knowledge that integrates the social and environmental domains and explores the drivers behind environmental health inequity is crucial to supporting implementation of the United Nations (UN) 2030 Agenda for Sustainable Development, in particular the pledge of leaving no one behind.</t>
  </si>
  <si>
    <t>[Ganzleben, Catherine; Kazmierczak, Aleksandra] European Environm Agcy, Kongens Nytorv 6, DK-1050 Copenhagen, Denmark</t>
  </si>
  <si>
    <t>Ganzleben, C (corresponding author), European Environm Agcy, Kongens Nytorv 6, DK-1050 Copenhagen, Denmark.</t>
  </si>
  <si>
    <t>Catherine.Ganzleben@eea.europa.eu</t>
  </si>
  <si>
    <t>European Community</t>
  </si>
  <si>
    <t>The revenue of the European Environment Agency consists of a subsidy from the European Community entered in the general budget of the European Communities and of payments for services rendered.</t>
  </si>
  <si>
    <t>1476-069X</t>
  </si>
  <si>
    <t>ENVIRON HEALTH-GLOB</t>
  </si>
  <si>
    <t>Environ. Health</t>
  </si>
  <si>
    <t>MAY 27</t>
  </si>
  <si>
    <t>10.1186/s12940-020-00600-2</t>
  </si>
  <si>
    <t>LU9UU</t>
  </si>
  <si>
    <t>WOS:000538092400001</t>
  </si>
  <si>
    <t>How urban environments are not equal, and deprived areas are subject to unfavourable metrics</t>
  </si>
  <si>
    <t>Dennis, M; Cook, PA; James, P; Wheater, CP; Lindley, SJ</t>
  </si>
  <si>
    <t>Dennis, Matthew; Cook, Penny A.; James, Philip; Wheater, C. Philip; Lindley, Sarah J.</t>
  </si>
  <si>
    <t>Relationships between health outcomes in older populations and urban green infrastructure size, quality and proximity</t>
  </si>
  <si>
    <t>PUBLIC-HEALTH; SPACE; CITIES</t>
  </si>
  <si>
    <t>BackgroundThere is a growing body of literature supporting positive associations between natural environments and better health. The type, quality and quantity of green and blue space ('green-space') in proximity to the home might be particularly important for less mobile populations, such as for some older people. However, considerations of measurement and definition of green-space, beyond single aggregated metrics, are rare. This constitutes a major source of uncertainty in current understanding of public health benefits derived from natural environments. We aimed to improve our understanding of how such benefits are conferred to different demographic groups through a comprehensive evaluation of the physical and spatial characteristics of urban green infrastructure.MethodsWe employed a green infrastructure (GI) approach combining a high-resolution spatial dataset of land-cover and function with area-level demographic and socio-economic data. This allowed for a comprehensive characterization of a densely populated, polycentric city-region. We produced multiple GI attributes including, for example, urban vegetation health. We used a series of step-wise multi-level regression analyses to test associations between population chronic morbidity and the functional, physical and spatial components of GI across an urban socio-demographic gradient.ResultsGI attributes demonstrated associations with health in all socio-demographic contexts even where associations between health and overall green cover were non-significant. Associations varied by urban socio-demographic group. For areas characterised by having higher proportions of older people ('older neighbourhoods'), associations with better health were exhibited by land-cover diversity, informal greenery and patch size in high income areas and by proximity to public parks and recreation land in low income areas. Quality of GI was a significant predictor of good health in areas of low income and low GI cover. Proximity of publicly accessible GI was also significant.ConclusionsThe influence of urban GI on population health is mediated by green-space form, quantity, accessibility, and vegetation health. People in urban neighbourhoods that are characterised by lower income and older age populations are disproportionately healthy if their neighbourhoods contain accessible, good quality public green-space. This has implications for strategies to decrease health inequalities and inform international initiatives, such as the World Health Organisation's Age-Friendly Cities programme.</t>
  </si>
  <si>
    <t>[Dennis, Matthew; Lindley, Sarah J.] Univ Manchester, Sch Environm Educ &amp; Dev, Dept Geog, Arthur Lewis Bldg, Manchester M13 9PL, Lancs, England; [Cook, Penny A.] Univ Salford, Sch Hlth &amp; Soc, Allerton Bldg, Salford M5 4WT, Lancs, England; [James, Philip] Univ Salford, Sch Sci Engn &amp; Environm, Peel Bldg, Salford MS 4WT, Lancs, England; [Wheater, C. Philip] Manchester Metropolitan Univ, Sch Sci &amp; Environm, Chester St,John Dalton Bldg, Manchester M1 SGD, Lancs, England</t>
  </si>
  <si>
    <t>University of Manchester; University of Salford; University of Salford; Manchester Metropolitan University</t>
  </si>
  <si>
    <t>Dennis, M (corresponding author), Univ Manchester, Sch Environm Educ &amp; Dev, Dept Geog, Arthur Lewis Bldg, Manchester M13 9PL, Lancs, England.</t>
  </si>
  <si>
    <t>Matthew.Dennis@Manchester.ac.uk</t>
  </si>
  <si>
    <t>Lindley, Sarah/O-4284-2014; Wheater, Philip/ABA-5984-2021; Cook, Penny A./H-2956-2013</t>
  </si>
  <si>
    <t>Lindley, Sarah/0000-0003-0581-4284; Cook, Penny A./0000-0001-6435-8050; Wheater, Charles/0000-0001-6403-7468; Dennis, Matthew/0000-0001-8569-6024</t>
  </si>
  <si>
    <t>Natural Environment Research Council; Arts and Humanities Research Council; Economic and Social Research Council under the Valuing Nature Programme [NE/N013530/1]; NERC [NE/N013530/1] Funding Source: UKRI</t>
  </si>
  <si>
    <t>Natural Environment Research Council(UK Research &amp; Innovation (UKRI)Natural Environment Research Council (NERC)); Arts and Humanities Research Council(UK Research &amp; Innovation (UKRI)Arts &amp; Humanities Research Council (AHRC)); Economic and Social Research Council under the Valuing Nature Programme; NERC(UK Research &amp; Innovation (UKRI)Natural Environment Research Council (NERC))</t>
  </si>
  <si>
    <t>This work was carried out as part of the Green Infrastructure and the Health and Well-Being Influences on an Ageing Population (GHIA) project (2016-2019) www.ghia.org.uk.Funders: Natural Environment Research Council, the Arts and Humanities Research Council and the Economic and Social Research Council under the Valuing Nature Programme. NE/N013530/1. The funder had no influence on the design of this study, nor did they influence the analysis and interpretation of data.</t>
  </si>
  <si>
    <t>MAY 6</t>
  </si>
  <si>
    <t>10.1186/s12889-020-08762-x</t>
  </si>
  <si>
    <t>LP3OM</t>
  </si>
  <si>
    <t>WOS:000534228400006</t>
  </si>
  <si>
    <t>How differenct socioecnomic groups are effected by different metrics of green space infrastructure</t>
  </si>
  <si>
    <t>Multiple</t>
  </si>
  <si>
    <t>Association of chronic morbidity and habitat GI</t>
  </si>
  <si>
    <t>qauntitative</t>
  </si>
  <si>
    <t>Hooyberg, A; Roose, H; Grellier, J; Elliott, LR; Lonneville, B; White, MP; Michels, N; De Henauw, S; Vandegehuchte, M; Everaert, G</t>
  </si>
  <si>
    <t>Hooyberg, Alexander; Roose, Henk; Grellier, James; Elliott, Lewis R.; Lonneville, Britt; White, Mathew P.; Michels, Nathalie; De Henauw, Stefaan; Vandegehuchte, Michiel; Everaert, Gert</t>
  </si>
  <si>
    <t>General health and residential proximity to the coast in Belgium: Results from a cross-sectional health survey</t>
  </si>
  <si>
    <t>Blue space; Mental health; Physical activity; Social interactions; Air pollution</t>
  </si>
  <si>
    <t>RECREATIONAL PHYSICAL-ACTIVITY; LONG-TERM EXPOSURE; BLUE SPACE; NATURAL ENVIRONMENTS; PARTICULATE MATTER; PUBLIC AQUARIUMS; MENTAL-HEALTH; GREEN SPACE; URBAN GREEN; MARINE</t>
  </si>
  <si>
    <t>The health risks of coastal areas have long been researched, but the potential benefits for health are only recently being explored. The present study compared the general health of Belgian citizens a) according to the EU's definition of coastal ( &lt; 50 km) vs. inland ( &gt; 50 km), and b) between eight more refined categories of residential proximity to the coast ( &lt; 5 km to &gt; 250 km). Data was drawn from the Belgian Health Interview Survey (n = 60,939) and investigated using linear regression models and mediation analyses on several hypothesized mechanisms. Results indicated that populations living &lt; 5 km of the coast reported better general health than populations living at &gt; 50-100 km. Four commonly hypothesized mechanisms were considered but no indirect associations were found: scores for mental health, physical activity levels and social contacts were not higher at 0-5 km from the coast, and air pollution (PM ic , concentrations) was lower at 0-5 km from the coast but not statistically associated with better health. Results are controlled for typical variables such as age, sex, income, neighbourhood levels of green and freshwater blue space, etc. The spatial urban-rural-nature mosaic at the Belgian coast and alternative explanations are discussed. The positive associations between the ocean and human health observed in this study encourage policy makers to manage coastal areas sustainably to maintain associated public health benefits into the future.</t>
  </si>
  <si>
    <t>[Hooyberg, Alexander; Lonneville, Britt; Vandegehuchte, Michiel; Everaert, Gert] Flanders Marine Inst VLIZ, InnovOcean Site Wandelaarkaai 7, B-8400 Oostende, Belgium; [Roose, Henk] Ghent Univ UGent, Dept Sociol, Ghent, Belgium; [Grellier, James; Elliott, Lewis R.; White, Mathew P.] Univ Exeter, Med Sch, ECEHH, Truro, England; [Michels, Nathalie; De Henauw, Stefaan] Ghent Univ UGent, Dept Publ Hlth &amp; Primary Care, Ghent, Belgium</t>
  </si>
  <si>
    <t>Ghent University; University of Exeter; Ghent University; Ghent University Hospital</t>
  </si>
  <si>
    <t>Hooyberg, A (corresponding author), Flanders Marine Inst VLIZ, InnovOcean Site Wandelaarkaai 7, B-8400 Oostende, Belgium.</t>
  </si>
  <si>
    <t>alexander.hooyberg@vliz.be; henk.roose@ugent.be; j.grellier@exeter.ac.uk; l.r.elliott@exeter.ac.uk; britt.lonneville@vliz.be; mathew.white@exeter.ac.uk; nathalie.michels@ugent.be; stefaan.dehenauw@ugent.be; michiel.vandegehuchte@vliz.be; gert.everaert@vliz.be</t>
  </si>
  <si>
    <t>Michels, Nathalie/C-2819-2012; White, Mathew P/AAZ-4113-2021; Everaert, Gert/B-7707-2017; Hooyberg, Alexander/ABF-6015-2021</t>
  </si>
  <si>
    <t>Michels, Nathalie/0000-0002-3069-7254; Everaert, Gert/0000-0003-4305-0617; Hooyberg, Alexander/0000-0001-6446-091X; Elliott, Lewis/0000-0003-3864-9465; Vandegehuchte, Michiel/0000-0002-3915-4416; White, Mathew Philip/0000-0002-4168-7289</t>
  </si>
  <si>
    <t>Flanders Marine Institute (Ostend, Belgium); federal government (FSP Public Health); Flemish Community; French Community; Brussels' Region; Walloon Region; German Community; European Union's Horizon 2020 research and innovation programme [666773]; H2020 Societal Challenges Programme [666773] Funding Source: H2020 Societal Challenges Programme</t>
  </si>
  <si>
    <t>Flanders Marine Institute (Ostend, Belgium); federal government (FSP Public Health); Flemish Community; French Community; Brussels' Region; Walloon Region; German Community; European Union's Horizon 2020 research and innovation programme; H2020 Societal Challenges Programme(Horizon 2020)</t>
  </si>
  <si>
    <t>The primary funding source of this study were the resources of the Flanders Marine Institute (Ostend, Belgium). The Health Interview Survey is financied by the federal government (FSP Public Health), the Flemish Community, the French Community, the Brussels' Region, the Walloon Region and the German Community. Co-authors JG, LE and MW were supported by the European Union's Horizon 2020 research and innovation programme under grant agreement No 666773: BlueHealth.</t>
  </si>
  <si>
    <t>10.1016/j.envres.2020.109225</t>
  </si>
  <si>
    <t>LD6YV</t>
  </si>
  <si>
    <t>WOS:000526178000055</t>
  </si>
  <si>
    <t>How proximitiy to the coast can improve health</t>
  </si>
  <si>
    <t>Yes (network access)</t>
  </si>
  <si>
    <t>Health survey (multiple years)</t>
  </si>
  <si>
    <t>Nicolosi, V; Wilson, J; Yoshino, A; Viren, P</t>
  </si>
  <si>
    <t>Nicolosi, Vincent; Wilson, Jackson; Yoshino, Aiko; Viren, Paige</t>
  </si>
  <si>
    <t>The restorative potential of coastal walks and implications of sound</t>
  </si>
  <si>
    <t>JOURNAL OF LEISURE RESEARCH</t>
  </si>
  <si>
    <t>Coastal walks; nature-based recreation; restorative environment; parks and outdoor recreation; sound</t>
  </si>
  <si>
    <t>GOOGLE STREET VIEW; LONG-TERM EXPOSURE; GREEN SPACE; BLUE SPACES; RESIDENTIAL GREEN; HUMAN HEALTH; URBAN; ENVIRONMENTS; BENEFITS; ATTENTION</t>
  </si>
  <si>
    <t>A growing body of research suggests blue spaces (oceans and freshwater) can be restorative environments and that sound can influence a restorative experience. This study uses a random cross-over field experiment to compare the perceived restorative outcomes from a coastal and urban walk (n = 63) and measures the impact sound (quality, level, type) might have on a participant's restorative experience. Self-reported sound (quality, level, type) explained most of the variation in perceived restoration between the two environments. This study builds on previous findings by providing experimental evidence that blue spaces can be restorative environments and that sound may influence a restorative experience. The findings suggest that blue spaces should be more fully accounted for in restorative environment studies, especially given the large number of people that live by or travel to coastal environments for recreational and leisurely enjoyment.</t>
  </si>
  <si>
    <t>[Nicolosi, Vincent; Wilson, Jackson; Yoshino, Aiko; Viren, Paige] San Francisco State Univ, Dept Recreat, Pk &amp; Tourism Dept, San Francisco, CA 94132 USA</t>
  </si>
  <si>
    <t>California State University System; San Francisco State University</t>
  </si>
  <si>
    <t>Nicolosi, V (corresponding author), San Francisco State Univ, Dept Recreat, Pk &amp; Tourism Dept, San Francisco, CA 94132 USA.</t>
  </si>
  <si>
    <t>Vnicolosi@mail.sfsu.edu</t>
  </si>
  <si>
    <t>Yoshino, Aiko/0000-0001-5049-7770; Wilson, Jackson/0000-0003-1257-9497</t>
  </si>
  <si>
    <t>TAYLOR &amp; FRANCIS INC</t>
  </si>
  <si>
    <t>PHILADELPHIA</t>
  </si>
  <si>
    <t>530 WALNUT STREET, STE 850, PHILADELPHIA, PA 19106 USA</t>
  </si>
  <si>
    <t>0022-2216</t>
  </si>
  <si>
    <t>2159-6417</t>
  </si>
  <si>
    <t>J LEISURE RES</t>
  </si>
  <si>
    <t>J. Leis. Res.</t>
  </si>
  <si>
    <t>JAN 1</t>
  </si>
  <si>
    <t>10.1080/00222216.2020.1741329</t>
  </si>
  <si>
    <t>MAR 2020</t>
  </si>
  <si>
    <t>Hospitality, Leisure, Sport &amp; Tourism; Sociology</t>
  </si>
  <si>
    <t>Social Sciences - Other Topics; Sociology</t>
  </si>
  <si>
    <t>PX8DL</t>
  </si>
  <si>
    <t>WOS:000525117800001</t>
  </si>
  <si>
    <t>Impact sound has on restorativeness in a blue space</t>
  </si>
  <si>
    <t>Restoration scale</t>
  </si>
  <si>
    <t xml:space="preserve">experimental </t>
  </si>
  <si>
    <t>pre-post cross over</t>
  </si>
  <si>
    <t>USA (California)</t>
  </si>
  <si>
    <t>Swami, V; Khatib, NAM; Vidal-Mollon, J; Vintila, M; Barron, D; Goian, C; Mayoral, O; Toh, EKL; Tudorel, O; Vazirani, S; Zahari, HS</t>
  </si>
  <si>
    <t>Swami, Viren; Khatib, Nor Azzatunnisak Mohd.; Vidal-Mollon, Jose; Vintila, Mona; Barron, David; Goian, Cosmin; Mayoral, Olga; Toh, Evelyn Kheng Lin; Tudorel, Otilia; Vazirani, Simran; Zahari, Hanoor Syahirah</t>
  </si>
  <si>
    <t>Visits to Natural Environments Improve State Body Appreciation: Evidence from Malaysia, Romania, and Spain</t>
  </si>
  <si>
    <t>Nature exposure; Positive body image; Botanic gardens; Green space; Blue space</t>
  </si>
  <si>
    <t>URBAN GREEN SPACE; PSYCHOMETRIC PROPERTIES; EXPOSURE; IMAGE; CONNECTEDNESS; TRANSLATION</t>
  </si>
  <si>
    <t>Recent studies have reported that nature exposure is associated with more positive body image-a multifaceted construct that includes one's body-related thoughts, feelings, and behaviors-but these studies are constrained by a focus on limited national contexts and environment types. To rectify this, we examined the impact of nature exposure on state body image in diverse national contexts and across different environment types. In Study 1, 140 Romanian and 161 Spanish adults who visited botanic gardens were asked to complete a measure of state body appreciation on entry and again upon exit, as well as report their visit duration. Analyses indicated that there was a significant increase in body appreciation scores in both subsamples (ds=0.52, 0.68), but exit scores were significantly higher in the Spanish compared to the Romanian group (d=0.26). Visit duration was significantly and weakly associated with greater improvements in state body image change only in the Spanish subsample. In Study 2, the same procedures were repeated with Malaysian adults who visited a green space (n=351) or blue space (n=351). Analyses showed a significant increase in body appreciation scores in both subsamples (ds=0.66, 0.99), with exit scores being significantly higher in the blue- compared to the green-space group (d=0.40). Visit duration was significantly, albeit weakly, associated with greater improvements in state body appreciation in both subsamples. These results support the prioritization of access to natural environments to promote healthier body image.</t>
  </si>
  <si>
    <t>[Swami, Viren] Anglia Ruskin Univ, Sch Psychol &amp; Sport Sci, East Rd, Cambridge CB1 1PT, Cambs, England; [Swami, Viren; Khatib, Nor Azzatunnisak Mohd.; Barron, David; Toh, Evelyn Kheng Lin; Zahari, Hanoor Syahirah] Perdana Univ, Ctr Psychol Med, Serdang, Malaysia; [Vidal-Mollon, Jose] Univ Valencia, Dept Res Methods &amp; Diag Educ, Valencia, Spain; [Vintila, Mona; Tudorel, Otilia] West Univ Timisoara, Dept Psychol, Timisoara, Romania; [Goian, Cosmin] West Univ Timisoara, Dept Social Work, Timisoara, Romania; [Mayoral, Olga] Univ Valencia, Dept Expt &amp; Social Sci Teaching, Valencia, Spain; [Mayoral, Olga] Univ Valencia, Jardi Bot, Valencia, Spain; [Vazirani, Simran] Univ Valencia, Dept Res Methods &amp; Diag Educ, Valencia, Spain</t>
  </si>
  <si>
    <t>Anglia Ruskin University; Perdana University; University of Valencia; West University of Timisoara; West University of Timisoara; University of Valencia; University of Valencia; University of Valencia</t>
  </si>
  <si>
    <t>Swami, V (corresponding author), Anglia Ruskin Univ, Sch Psychol &amp; Sport Sci, East Rd, Cambridge CB1 1PT, Cambs, England.</t>
  </si>
  <si>
    <t>viren.swami@anglia.ac.uk</t>
  </si>
  <si>
    <t>Mohd Khatib, Nor Azzatunnisak/AAE-3819-2022; Tudorel, Otilia/K-5662-2019; Vintila, Mona/AAC-1563-2022</t>
  </si>
  <si>
    <t>Mohd Khatib, Nor Azzatunnisak/0000-0001-5002-2900; Tudorel, Otilia/0000-0002-6628-8006; Zahari, Hanoor Syahirah/0000-0001-8206-9746; Barron, David/0000-0003-3664-621X</t>
  </si>
  <si>
    <t>10.1089/eco.2019.0065</t>
  </si>
  <si>
    <t>NS7FI</t>
  </si>
  <si>
    <t>WOS:000572422800005</t>
  </si>
  <si>
    <t>Hu, LQ; Li, Q</t>
  </si>
  <si>
    <t>Hu, Leiqiu; Li, Qi</t>
  </si>
  <si>
    <t>Greenspace, bluespace, and their interactive influence on urban thermal environments</t>
  </si>
  <si>
    <t>ENVIRONMENTAL RESEARCH LETTERS</t>
  </si>
  <si>
    <t>urban thermal environment; green space; blue space; interactive effect</t>
  </si>
  <si>
    <t>HEAT-ISLAND; TEMPERATURE; MITIGATE; BENEFITS; CLIMATE; SPACES</t>
  </si>
  <si>
    <t>Urban land use land cover (LULC) change raises ambient temperature and modifies atmospheric moisture, which increases heat-related health risks in cities. Greenspace and bluespace commonly coexist in urban landscapes and are nature-based heat mitigation strategies. Yet, their interactive effects on urban thermal environments are rarely assessed and it remains unclear how extreme heat events (EHEs) affect their ability to regulate human thermal comfort. Using multi-year observations from a dense urban observational network in Madison, WI, we found that green and blue spaces jointly modify the intraurban spatiotemporal variability of temperature and humidity, and the resultant effects on thermal comfort show diurnal and seasonal asymmetry. Greenspace is more effective at cooling throughout the year, particularly at night. Accelerated cooling efficiency is found in areas with dominant greenspace coverage and little co-influence from bluespace. The thermal comfort benefit due to greenspaces can be offset by bluespaces because of intensified nighttime warming and humidifying effects during the warm months, although a weak daytime cooling of bluespace is observed. EHEs enhance bluespace cooling, but the overall joint thermal regulation remains the same due to the enhanced moisture effect. Our findings suggest that diverse outcomes of green and blue spaces cross multiple temporal scales should be holistically assessed in urban planning. The analysis framework based on generalized additive models is robust and transferable to other cities and applications to disentangle the nonlinear co-influences of different drivers of urban environmental phenomena.</t>
  </si>
  <si>
    <t>[Hu, Leiqiu] Univ Alabama, Dept Atmospher &amp; Earth Sci, Huntsville, AL 35805 USA; [Li, Qi] Cornell Univ, Sch Civil &amp; Environm Engn, Ithaca, NY 14853 USA</t>
  </si>
  <si>
    <t>University of Alabama System; University of Alabama Huntsville; Cornell University</t>
  </si>
  <si>
    <t>Hu, LQ (corresponding author), Univ Alabama, Dept Atmospher &amp; Earth Sci, Huntsville, AL 35805 USA.</t>
  </si>
  <si>
    <t>leiqiu.hu@uah.edu</t>
  </si>
  <si>
    <t>Hu, Leiqiu/0000-0002-1867-2521; Li, Qi/0000-0003-4435-6220</t>
  </si>
  <si>
    <t>NSF; University of Alabama in Huntsville; Cornell University</t>
  </si>
  <si>
    <t>NSF(National Science Foundation (NSF)); University of Alabama in Huntsville; Cornell University</t>
  </si>
  <si>
    <t>The authors would like to thank Drs Ying Sun, Linda Shi, and Wilfried Brutsaert, and Zhihua Wang for their constructive comments on the manuscript, and the Cornell Statistics Consulting Unit, Drs Yang Ning and Sumanta Basu for their help on statistical models. The authors also aknowlege the critial review by two anonymous reviewers on an earlier version of this manuscript. Particular thanks to NSF-funded LongTerm Ecological Research of North Temperate Lakes site for free data (PI: Christopher Kucharik). This work was supported in part by internal initiation grants from the University of Alabama in Huntsville and Cornell University.</t>
  </si>
  <si>
    <t>IOP PUBLISHING LTD</t>
  </si>
  <si>
    <t>1748-9326</t>
  </si>
  <si>
    <t>ENVIRON RES LETT</t>
  </si>
  <si>
    <t>Environ. Res. Lett.</t>
  </si>
  <si>
    <t>10.1088/1748-9326/ab6c30</t>
  </si>
  <si>
    <t>Environmental Sciences; Meteorology &amp; Atmospheric Sciences</t>
  </si>
  <si>
    <t>KS9RA</t>
  </si>
  <si>
    <t>WOS:000518646400001</t>
  </si>
  <si>
    <t>How green space and blue space mitigate temperature</t>
  </si>
  <si>
    <t>case with longitudinal temp. data</t>
  </si>
  <si>
    <t>USA (Madison)</t>
  </si>
  <si>
    <t>Engemann, K; Svenning, JC; Arge, L; Brandt, J; Geels, C; Mortensen, PB; Plana-Ripoll, O; Tsirogiannis, C; Pedersen, CB</t>
  </si>
  <si>
    <t>Engemann, Kristine; Svenning, Jens-Christian; Arge, Lars; Brandt, Jorgen; Geels, Camilla; Mortensen, Preben Bo; Plana-Ripoll, Oleguer; Tsirogiannis, Constantinos; Pedersen, Carsten Bocker</t>
  </si>
  <si>
    <t>Natural surroundings in childhood are associated with lower schizophrenia rates</t>
  </si>
  <si>
    <t>SCHIZOPHRENIA RESEARCH</t>
  </si>
  <si>
    <t>Environment; Green space; Mental health; Psychiatric risk; Psychological ecosystem services; Remote sensing</t>
  </si>
  <si>
    <t>PSYCHOLOGICAL BENEFITS; HEALTH-BENEFITS; AIR-POLLUTION; MENTAL-HEALTH; GREENSPACE; RISK; ENVIRONMENT; DISORDERS; VALIDATION; URBANICITY</t>
  </si>
  <si>
    <t>High exposure to green space and natural environments has previously been associated with lower schizophrenia rates possibly through low air pollution and improved psychological restoration. Exposure to natural environments could explain the negative urban-rural gradient of schizophrenia, but it is unclear if all natural environments are associated with schizophrenia rates. We investigated the association between schizophrenia and growing up surrounded by environments classified as mainly urban, agricultural, near-natural green space, and blue space. Vegetation density and air pollution were assessed as potential pathways. We used the Danish population (943 027 people) and remotely-sensed environmental data to determine land cover exposure and vegetation density around each individual's residence. Effect sizes were estimated using Cox regression and adjusted for air pollution, socioeconomic status, and urbanization. Our results show that growing up surrounded by non-urban environments is associated with lower schizophrenia rates. Firstly, growing up surrounded by non-built-up areas (agricultural areas, near-natural green and blue space) is associated with lower schizophrenia rates compared to urban areas. Secondly, rates decrease with vegetation density in a dose-response relationship for urban and agricultural areas. Air pollution mitigation more strongly explained the protective association in near-natural green spaces, implying that restorative pathways together with air pollution mitigation may explain lower rates in natural environments. This study suggests that ensuring access to natural environments during childhood may be important for schizophrenia prevention, whilst being the first study to show that natural environments may influence schizophrenia rates through multiple pathways. (C) 2019 Elsevier B.V. All rights reserved.</t>
  </si>
  <si>
    <t>[Engemann, Kristine; Svenning, Jens-Christian] Aarhus Univ, Dept Biosci, Sect Ecoinformat &amp; Biodivers, Ny Munkegade 114, DK-8000 Aarhus C, Denmark; [Engemann, Kristine; Svenning, Jens-Christian] Aarhus Univ, Ctr Biodivers Dynam Changing World BIOCHANGE, DK-8000 Aarhus C, Denmark; [Engemann, Kristine; Mortensen, Preben Bo; Pedersen, Carsten Bocker] Aarhus Univ, Ctr Integrated Register Based Res, CIRRAU, DK-8210 Aarhus V, Denmark; [Engemann, Kristine; Pedersen, Carsten Bocker] Aarhus Univ, Big Data Ctr Environm &amp; Hlth, DK-8210 Aarhus V, Denmark; [Arge, Lars; Tsirogiannis, Constantinos] Aarhus Univ, MADALGO, Ctr Mass Data Algorithm, Dept Comp Sci, DK-8200 Aarhus N, Denmark; [Brandt, Jorgen; Geels, Camilla] Aarhus Univ, Dept Environm Sci, Sect Atmospher Modelling, DK-4000 Roskilde, Denmark; [Mortensen, Preben Bo; Plana-Ripoll, Oleguer; Pedersen, Carsten Bocker] Aarhus Univ, Natl Ctr Register Based Res, Dept Econ &amp; Business Econ, Aarhus BSS, DK-8210 Aarhus V, Denmark; [Mortensen, Preben Bo; Pedersen, Carsten Bocker] Aarhus Univ, Lundbeck Fdn Initiat Integrat Psychiat Res, iPSYCH, DK-8210 Aarhus V, Denmark</t>
  </si>
  <si>
    <t>Aarhus University; Aarhus University; Aarhus University; Lundbeck Foundation Initiative for Integrative Psychiatric Research (iPSYCH); Aarhus University; Aarhus University; Aarhus University; Aarhus University; Aarhus University; Lundbeck Foundation Initiative for Integrative Psychiatric Research (iPSYCH)</t>
  </si>
  <si>
    <t>Engemann, K (corresponding author), Aarhus Univ, Dept Biosci, Sect Ecoinformat &amp; Biodivers, Ny Munkegade 114, DK-8000 Aarhus C, Denmark.</t>
  </si>
  <si>
    <t>engemann@bios.au.dk; svenning@bios.au.dk; large@cs.au.dk; jbr@envs.au.dk; cag@envs.au.dk; pbm@econ.au.dk; opr@econ.au.dk; tsirogiannis.c@gmail.com; cbp@econ.au.dk</t>
  </si>
  <si>
    <t>Svenning, Jens-Christian/C-8977-2012; Geels, Camilla/G-4757-2013; Pedersen, Carsten Bøcker/B-8441-2013; Mortensen, Preben B/D-2358-2015; Plana-Ripoll, Oleguer/E-1448-2015; Brandt, Jørgen/B-3733-2011</t>
  </si>
  <si>
    <t>Svenning, Jens-Christian/0000-0002-3415-0862; Geels, Camilla/0000-0003-2549-1750; Pedersen, Carsten Bøcker/0000-0003-2077-8533; Mortensen, Preben B/0000-0002-5230-9865; Plana-Ripoll, Oleguer/0000-0002-6470-7465; Brandt, Jørgen/0000-0002-7580-9547; Engemann, Kristine/0000-0003-1431-1726</t>
  </si>
  <si>
    <t>Lundbeck Foundation, Denmark [R102-A9118, R155-2014-1724]; Stanley Medical Research Institute; NordForsk under the Nordic Programme on Health and Welfare (NordicWelfAir) [75007]; Novo Nordisk Foundation (Big Data Centre for Environment and Health) [NNF17OC0027864]; VILLUM Investigator project (VILLUM FONDEN) [16549]; European Union [837180]</t>
  </si>
  <si>
    <t>Lundbeck Foundation, Denmark(Lundbeckfonden); Stanley Medical Research Institute; NordForsk under the Nordic Programme on Health and Welfare (NordicWelfAir); Novo Nordisk Foundation (Big Data Centre for Environment and Health)(Novo Nordisk Foundation); VILLUM Investigator project (VILLUM FONDEN); European Union(European Union (EU))</t>
  </si>
  <si>
    <t>This study was supported by The Lundbeck Foundation (grant no R102-A9118 and R155-2014-1724), Denmark; the Stanley Medical Research Institute; NordForsk under the Nordic Programme on Health and Welfare (NordicWelfAir, Project #75007); and the Novo Nordisk Foundation (Big Data Centre for Environment and Health, grant number NNF17OC0027864). JCS considers this work a contribution to his VILLUM Investigator project (VILLUM FONDEN grant 16549). OP-R has received funding from the European Union's Horizon 2020 research and innovation programme under the Marie Sklodowska-Curie grant agreement No 837180.</t>
  </si>
  <si>
    <t>0920-9964</t>
  </si>
  <si>
    <t>1573-2509</t>
  </si>
  <si>
    <t>SCHIZOPHR RES</t>
  </si>
  <si>
    <t>Schizophr. Res.</t>
  </si>
  <si>
    <t>10.1016/j.schres.2019.10.012</t>
  </si>
  <si>
    <t>Psychiatry</t>
  </si>
  <si>
    <t>LR4XI</t>
  </si>
  <si>
    <t>WOS:000535699400022</t>
  </si>
  <si>
    <t>Prevlaence of schizophrenia across the urban rural gradient</t>
  </si>
  <si>
    <t>Prevleance of schiz. In relation to urban rural gradient</t>
  </si>
  <si>
    <t>case (longitudinal and cross sectional data)</t>
  </si>
  <si>
    <t>White, RG</t>
  </si>
  <si>
    <t>White, Ross G.</t>
  </si>
  <si>
    <t>Mental wellbeing in the Anthropocene: Socio-ecological approaches to capability enhancement</t>
  </si>
  <si>
    <t>TRANSCULTURAL PSYCHIATRY</t>
  </si>
  <si>
    <t>capabilities approach; environmental justice; global mental health; human development; wellbeing</t>
  </si>
  <si>
    <t>EL-NINO; ENVIRONMENTAL JUSTICE; INDIGENOUS PEOPLES; CLIMATE-CHANGE; HEALTH; MALARIA; FRAMEWORK; WOMEN; URBANIZATION; PERSPECTIVE</t>
  </si>
  <si>
    <t>There is growing recognition that human development frameworks, such as the Capabilities Approach (CA) with its emphasis on the promotion of justice, offer promise for guiding efforts aimed at enhancing mental wellbeing. This article explores challenges that might arise when there is a need to arbitrate among the competing demands of different parties in their efforts to enhance capabilities. Particular tensions can arise when the efforts of particular individuals to enhance their capabilities exert pressure on scarce resources, or threaten the safety and security of people living in precarious environmental contexts. Consideration is given to the need for an ethos of restraint to balance the consumption of resources aimed at facilitating human development on the one hand, with the need to promote environmental justice on the other. The paper highlights research that has investigated how environmental factors can impact on mental wellbeing, including rapid urbanization, climate change related issues (such as weather systems, drought, food insecurity and rising sea-levels), and access to green/blue spaces. As such, the paper explores the important links that can exist between people and the ecosystems in which they live (including the way in which particular cultural beliefs and practices of indigenous groups can be tethered to the land). Elinor Ostrom's design principles, derived from her work investigating the sustainable use of pooled resources, are presented as a helpful means of assisting members of communities to negotiate and apply functioning constraints, which can promote environmental justice whilst not compromising efforts aimed at promoting mental wellbeing.</t>
  </si>
  <si>
    <t>[White, Ross G.] Univ Liverpool, Clin Psychol, Liverpool, Merseyside, England</t>
  </si>
  <si>
    <t>N8 Research Partnership; University of Liverpool</t>
  </si>
  <si>
    <t>White, RG (corresponding author), Univ Liverpool, Sch Psychol, Clin Psychol, G-10,Whelan Bldg Quadrangle,Brownlow Hill, Liverpool L69 3GB, Merseyside, England.</t>
  </si>
  <si>
    <t>ross.white@liverpool.ac.uk</t>
  </si>
  <si>
    <t>White, Ross G/B-3180-2010</t>
  </si>
  <si>
    <t>White, Ross/0000-0003-4026-6439</t>
  </si>
  <si>
    <t>SAGE PUBLICATIONS LTD</t>
  </si>
  <si>
    <t>1 OLIVERS YARD, 55 CITY ROAD, LONDON EC1Y 1SP, ENGLAND</t>
  </si>
  <si>
    <t>1363-4615</t>
  </si>
  <si>
    <t>1461-7471</t>
  </si>
  <si>
    <t>TRANSCULT PSYCHIATRY</t>
  </si>
  <si>
    <t>Transcult. Psychiatry</t>
  </si>
  <si>
    <t>10.1177/1363461518786559</t>
  </si>
  <si>
    <t>Anthropology; Psychiatry</t>
  </si>
  <si>
    <t>KQ5VH</t>
  </si>
  <si>
    <t>WOS:000516989200004</t>
  </si>
  <si>
    <t>framework developing Capabilities approach to enahnce mental well being through the promotion of justice</t>
  </si>
  <si>
    <t>revoew</t>
  </si>
  <si>
    <t>Zijlema, WL; Triguero-Mas, M; Cirach, M; Gidlow, C; Kruize, H; Grazuleviciene, R; Nieuwenhuijsen, MJ; Litt, JS</t>
  </si>
  <si>
    <t>Zijlema, W. L.; Triguero-Mas, M.; Cirach, M.; Gidlow, C.; Kruize, H.; Grazuleviciene, R.; Nieuwenhuijsen, M. J.; Litt, J. S.</t>
  </si>
  <si>
    <t>Understanding correlates of neighborhood aesthetic ratings: A European-based Four City comparison</t>
  </si>
  <si>
    <t>Aesthetic ratings; Greenness; Natural environment; Neighborhood environment; NDVI</t>
  </si>
  <si>
    <t>SELF-RATED HEALTH; PHYSICAL-ACTIVITY; MENTAL-HEALTH; GREEN SPACE; BUILT ENVIRONMENT; WALKING; COMMUNITY; ASSOCIATIONS; PERCEPTIONS; RECREATION</t>
  </si>
  <si>
    <t>Evidence of associations between nature and health behaviors and health status is mounting. However, there is a need to deconstruct natural space to capture the qualities of green and blue space and the various ways people experience these natural outdoor environments. These experiences influence and sustain changes in health and social behaviors such as physical activity, diet, and social connectedness. In this paper, we examine the social, cultural, and emotional factors that influence people's perceptions of natural outdoor environments, also referred to as neighborhood aesthetics. Using a population-based sample of 2948 adults in four European cities who participated in the PHENOTYPE study, we developed a quality-based aesthetics index of nearby nature to represent our study outcome. The scale had high internal consistency (Cronbach's alpha 0.86). We assessed its association with common measures of the natural environment (Normalized Difference Vegetation Index (NDVI)), and examined factors that may influence aesthetic ratings. Hypothesized correlates of neighborhood aesthetics including presence of and time in neighborhood nature, perceived environmental stressors and neighborhood social cohesion and attachment were generally confirmed. Contrary to our expectations, respondents born in the country of current residence rated neighborhood aesthetics lower than those born elsewhere and associations with length of residence were not consistent across countries. Interventions designed to influence social, cultural, and emotional processes could improve aesthetics ratings and potentially contribute to better health and wellbeing.</t>
  </si>
  <si>
    <t>[Zijlema, W. L.; Cirach, M.; Nieuwenhuijsen, M. J.; Litt, J. S.] Barcelona Inst Global Hlth ISGlobal, Doctor Aiguader 88, Barcelona 08003, Spain; [Zijlema, W. L.; Cirach, M.; Nieuwenhuijsen, M. J.; Litt, J. S.] Univ Pompeu Fabra, Doctor Aiguader 88, Barcelona 08003, Spain; [Zijlema, W. L.; Cirach, M.; Nieuwenhuijsen, M. J.; Litt, J. S.] CIBER Epidemiol &amp; Salud Publ CIBERESP, Melchor Fernandez Almagro 3-5, Madrid 28029, Spain; [Triguero-Mas, M.] Univ Autonoma Barcelona, Barcelona Lab Urban Environm Justice &amp; Sustainabi, Inst Environm Sci &amp; Technol, Med Res Inst IMIM,Hosp Mar, Barcelona, Spain; [Gidlow, C.] Staffordshire Univ, Ctr Hlth &amp; Dev, Leek Rd, Stoke On Trent ST4 2DF, Staffs, England; [Kruize, H.] Natl Inst Publ Hlth &amp; Environm RIVM, Ctr Sustainabil Environm &amp; Hlth, Antonie van Leeuwenhoeklaan 9, NL-3721 MA Bilthoven, Netherlands; [Grazuleviciene, R.] Vytautas Magnus Univ, Dept Environm Sci, K Donelaicio Str 58, LT-44248 Kaunas, Lithuania; [Litt, J. S.] Univ Colorado, Environm Studies Program, 4001 Discovery Dr, Boulder, CO 80303 USA</t>
  </si>
  <si>
    <t>ISGlobal; Pompeu Fabra University; CIBER - Centro de Investigacion Biomedica en Red; CIBERESP; Autonomous University of Barcelona; Institut Hospital del Mar d'Investigacions Mediques (IMIM); Hospital del Mar; Staffordshire University; Netherlands National Institute for Public Health &amp; the Environment; Vytautas Magnus University; University of Colorado System; University of Colorado Boulder</t>
  </si>
  <si>
    <t>Zijlema, WL; Litt, JS (corresponding author), Barcelona Inst Global Hlth ISGlobal, Barcelona Biomed Res Pk PRBB, Doctor Aiguader 88, Barcelona 08003, Spain.</t>
  </si>
  <si>
    <t>wilma.zijlema@isglobal.org; jill.litt@isglobal.org</t>
  </si>
  <si>
    <t>Zijlema, Wilma/AAE-2409-2021; Gidlow, Christopher James/C-5796-2018; Zijlema, Wilma/IXN-0633-2023; Grazuleviciene, Regina/AAR-4539-2021; Triguero Mas, Margarita/AAA-9148-2020; Nieuwenhuijsen, Mark/C-3914-2017</t>
  </si>
  <si>
    <t>Gidlow, Christopher James/0000-0003-4990-4572; Grazuleviciene, Regina/0000-0002-0210-8053; Triguero Mas, Margarita/0000-0002-1580-2693; Litt, Jill/0000-0001-8593-5400; Nieuwenhuijsen, Mark/0000-0001-9461-7981</t>
  </si>
  <si>
    <t>European Community's Seventh Framework Programme (FP7/20072013) [282996]; Sara Borrell grant from the Instituto de Salud Carlos III [CD17/00195]; European Union's Horizon 2020 research and innovation programme under the Marie Sklodowska-Curie grant [795845]; Marie Curie Actions (MSCA) [795845] Funding Source: Marie Curie Actions (MSCA)</t>
  </si>
  <si>
    <t>European Community's Seventh Framework Programme (FP7/20072013)(European Union (EU)); Sara Borrell grant from the Instituto de Salud Carlos III(Instituto de Salud Carlos III); European Union's Horizon 2020 research and innovation programme under the Marie Sklodowska-Curie grant(Marie Curie Actions); Marie Curie Actions (MSCA)(Marie Curie Actions)</t>
  </si>
  <si>
    <t>The research leading to these results has received funding from the European Community's Seventh Framework Programme (FP7/20072013) under grant agreement no 282996. W.L. Zijlema is supported by a Sara Borrell grant from the Instituto de Salud Carlos III (CD17/00195). J.S. Litt is supported by funding from the European Union's Horizon 2020 research and innovation programme under the Marie Sklodowska-Curie grant agreement No 795845.</t>
  </si>
  <si>
    <t>10.1016/j.ufug.2019.126523</t>
  </si>
  <si>
    <t>KE2LA</t>
  </si>
  <si>
    <t>WOS:000508389000011</t>
  </si>
  <si>
    <t>In this paper, we examine the social, cultural, and emotional factors that influence people's perceptions of natural outdoor environments, also referred to as neighborhood aesthetics</t>
  </si>
  <si>
    <t>4 European</t>
  </si>
  <si>
    <t>McNamara, M; Murphy, A; Dowler, F; Foley, R</t>
  </si>
  <si>
    <t>McNamara, Maedhbh; Murphy, Ailise; Dowler, Fiona; Foley, Ronan</t>
  </si>
  <si>
    <t>Blue Spaces as Resources for Health and Wellbeing: Survey Comparisons of Indoor and Outdoor Settings from Ireland</t>
  </si>
  <si>
    <t>REVISTA DE ESTUDIOS ANDALUCES</t>
  </si>
  <si>
    <t>Health; Wellbeing; Blue Space; Canals; Beaches; Swimming Pools</t>
  </si>
  <si>
    <t>THERAPEUTIC LANDSCAPES; MENTAL-HEALTH; URBAN; GREEN; GEOGRAPHIES; EXPERIENCE; RESPONSES; WATERS; PLACES</t>
  </si>
  <si>
    <t>There has been an upsurge of recent interest in blue spaces, especially evident in nature-based research associated with the health and wellbeing potential of oceanic, coastal and inland waters. This paper documents Irish studies that compare indoor and outdoor blue spaces for different user communities and practices. The studies employ qualitative methodologies including interviews, visual surveys and go-alongs, to enact a form of 'place capture' in three different types of blue space. The first study, based at an indoor swimming pool in West Dublin, identifies the benefits and value of swimming as a healthy practice, from three different cohorts of respondents (n=79). The second study of a single canal space in the Midlands looks at the benefits identified by mixed regular users, including Park Runners, of the blue-ways alongside the Royal Canal (n=12). A third study captured comparative in-situ user-perspectives from two very different blue spaces, canal and beach, in two locations in Central/South Dublin (n=8). What emerges from the studies are complex assemblages of identified therapeutic outcomes in both health and wellbeing terms, reflecting diverse user perspectives from different types of blue space. The accounts reflect the literature in identifying both health-promoting and health-reducing dimensions of blue space experience, as well as commonalities and variations in how users explicitly value blue spaces settings. Key additional themes include, self-discovery, socialisation and recovery that hint at the potential of qualitatively focused 'emplaced blue community' studies to underpin and inform public health policy and promote health resilience in Ireland and beyond.</t>
  </si>
  <si>
    <t>[McNamara, Maedhbh; Murphy, Ailise; Dowler, Fiona; Foley, Ronan] Natl Univ Ireland Maynooth, Dept Geog, Co Kildare W23 F2H6, Ireland</t>
  </si>
  <si>
    <t>Foley, R (corresponding author), Natl Univ Ireland Maynooth, Dept Geog, Co Kildare W23 F2H6, Ireland.</t>
  </si>
  <si>
    <t>maedhbh.mcnamara.2018@mumail.ie; ailise.murphy.2015@mumail.ie; fiona.dowler.2015@mumail.ie; ronan.foley@mu.ie</t>
  </si>
  <si>
    <t>Foley, Ronan/0000-0001-6550-1410; McNamara, Maedhbh/0000-0003-2846-6956</t>
  </si>
  <si>
    <t>UNIV SEVILLA, EDITORIAL</t>
  </si>
  <si>
    <t>SEVILLE</t>
  </si>
  <si>
    <t>SECRETARIADO PUBLICACIONES, C/ PORVENIR, NO 27, SEVILLE, 41013, SPAIN</t>
  </si>
  <si>
    <t>0212-8594</t>
  </si>
  <si>
    <t>2340-2776</t>
  </si>
  <si>
    <t>REV ESTUD ANDAL</t>
  </si>
  <si>
    <t>Rev. Estud. Andal.</t>
  </si>
  <si>
    <t>10.12795/rea.2020.i39.01</t>
  </si>
  <si>
    <t>Area Studies</t>
  </si>
  <si>
    <t>KR7KQ</t>
  </si>
  <si>
    <t>WOS:000517795200001</t>
  </si>
  <si>
    <t>Comparison of indoor and outdoor blue sapce effects</t>
  </si>
  <si>
    <t>survey</t>
  </si>
  <si>
    <t>Ireland</t>
  </si>
  <si>
    <t>Wu, J; Yang, S; Zhang, X</t>
  </si>
  <si>
    <t>Wu, Jing; Yang, Shen; Zhang, Xu</t>
  </si>
  <si>
    <t>Evaluation of the Fairness of Urban Lakes' Distribution Based on Spatialization of Population Data: A Case Study of Wuhan Urban Development Zone</t>
  </si>
  <si>
    <t>fairness of lake distribution; population data spatialization; accessibility; Wuhan City</t>
  </si>
  <si>
    <t>BLUE SPACE; WATER; ACCESSIBILITY; JUSTICE</t>
  </si>
  <si>
    <t>Lake reclamation for urban construction has caused serious damage to lakes in cities undergoing rapid urbanization. This process affects urban ecological environment and leads to inconsistent urban expansion, population surge, and uneven distribution of urban lakes. This study measured the fairness of urban lakes' distribution and explored the spatial matching relationship between service supply and user group demand. The interpretation and analysis of Wuhan's remote sensing images, population, administrative area, traffic network, and other data in 2018 were used as the basis. Specifically, the spatial distribution pattern and fairness of lakes' distribution in Wuhan urban development zone were investigated. This study establishes a geographic weighted regression (GWR) model of land cover types and population data based on a spatialization method of population data based on land use, and uses population spatial data and network accessibility analysis results to evaluate lake service levels in the study area. Macroscopically, the correlation analysis of sequence variables and Gini coefficient analysis method are used to measure the fairness of the Wuhan lake distribution problem and equilibrium degree, and the location entropy analysis is used to quantitatively analyze the fairness of lakes and Wuhan streets from the perspective of supply and demand location entropy. Levels improve the accuracy of the research. Results showed that (1) the area covered by lakes in Wuhan urban development zone is 1007.96 km(2) within 60-min of walking, accounting for 30.6% of the total area of the study area. This area can house 5,050,275 people, accounting for 60.8% of Wuhan's total population. (2) The lakes in the central city area are less fair than the lakes outside the Third Ring Road. (3) The service level of North Lake is the highest among all the lakes in the study area, and that of Hou Lake is the lowest. (4) The spatial layout of the fairness of the lakes' distribution is roughly distributed in circles. The fairness level collapses toward the city center, indicating that the closer to the city center, the lower the fairness level.</t>
  </si>
  <si>
    <t>[Wu, Jing; Yang, Shen; Zhang, Xu] Wuhan Univ, Sch Urban Design, Wuhan 430072, Peoples R China</t>
  </si>
  <si>
    <t>Wu, J (corresponding author), Wuhan Univ, Sch Urban Design, Wuhan 430072, Peoples R China.</t>
  </si>
  <si>
    <t>jing.wu@whu.edu.cn; 2016301120042@whu.edu.cn; 2016301530004@whu.edu.cn</t>
  </si>
  <si>
    <t>National Natural Science Foundation of China [51808409]; Natural Science Foundation of Hubei Province [2019CFB477]; Fundamental Research Funds for the Central Universities (Interdisciplinary Project) [2042019kf0211]</t>
  </si>
  <si>
    <t>National Natural Science Foundation of China(National Natural Science Foundation of China (NSFC)); Natural Science Foundation of Hubei Province(Natural Science Foundation of Hubei Province); Fundamental Research Funds for the Central Universities (Interdisciplinary Project)</t>
  </si>
  <si>
    <t>This research was funded by National Natural Science Foundation of China: 51808409; Natural Science Foundation of Hubei Province: 2019CFB477; Fundamental Research Funds for the Central Universities (Interdisciplinary Project): 2042019kf0211.</t>
  </si>
  <si>
    <t>1661-7827</t>
  </si>
  <si>
    <t>DEC 2</t>
  </si>
  <si>
    <t>10.3390/ijerph16244994</t>
  </si>
  <si>
    <t>KC6VK</t>
  </si>
  <si>
    <t>WOS:000507312700114</t>
  </si>
  <si>
    <t>Fairness of lake distribution</t>
  </si>
  <si>
    <t>Accessibility to lakes (blue space equity)</t>
  </si>
  <si>
    <t>Sutton-Grier, AE; Sandifer, PA</t>
  </si>
  <si>
    <t>Sutton-Grier, Ariana E.; Sandifer, Paul A.</t>
  </si>
  <si>
    <t>Conservation of Wetlands and Other Coastal Ecosystems: a Commentary on their Value to Protect Biodiversity, Reduce Disaster Impacts, and Promote Human Health and Well-Being</t>
  </si>
  <si>
    <t>WETLANDS</t>
  </si>
  <si>
    <t>Green &amp; blue space; Natural and nature-based infrastructure; Disaster planning, response and recovery; Urban planning and land-use; Human health</t>
  </si>
  <si>
    <t>MENTAL-HEALTH; PSYCHOLOGICAL BENEFITS; BLUE SPACE; OIL-SPILLS; EXPOSURE; GREEN; SERVICES; WATER; OPPORTUNITIES; PRESCRIPTION</t>
  </si>
  <si>
    <t>There is substantial, growing literature that details positive human health effects, psychological and physiological, of exposure to nature, including green and blue space, with evidence suggesting that diversity of species or environments may have specific positive human health benefits. These health benefits are important ecosystem services provided by healthy ecosystems. In this paper, we discuss several critical ecosystem services provided by wetlands including disaster risk reduction, with an emphasis on benefits to human health and well-being. Impacts to human health via damage to ecosystem services from disasters have rarely been considered in disaster planning or mitigation, nor have the health benefits been part of the framework for planning urban greenspaces and land-use. Coastal wetlands can be part of natural and nature-based solutions, minimizing the impacts of disasters by buffering coastal communities from storms and erosion and absorbing flood waters. In addition, mental and physical health benefits of experiencing healthy wetlands could offset some stress and disease encounters related to disasters. Thus, coastal wetlands should be part of a strategy for reducing the risk posed by disasters and facilitating recovery. We conclude with recommendations for research priorities and specific inclusion of wetlands in coastal community planning for disaster response and recovery.</t>
  </si>
  <si>
    <t>[Sutton-Grier, Ariana E.] Nature Conservancy, MD DC Chapter, 425 Barlow Rd, Bethesda, MD 20814 USA; [Sutton-Grier, Ariana E.] Univ Maryland, Earth Syst Sci Interdisciplinary Ctr, College Pk, MD 20742 USA; [Sandifer, Paul A.] Coll Charleston, Ctr Coastal Environm &amp; Human Hlth, Hollings Marine Lab, 331 Ft Johnson Rd, Charleston, SC 29412 USA</t>
  </si>
  <si>
    <t>Nature Conservancy; University System of Maryland; University of Maryland College Park; College of Charleston</t>
  </si>
  <si>
    <t>Sutton-Grier, AE (corresponding author), Nature Conservancy, MD DC Chapter, 425 Barlow Rd, Bethesda, MD 20814 USA.;Sutton-Grier, AE (corresponding author), Univ Maryland, Earth Syst Sci Interdisciplinary Ctr, College Pk, MD 20742 USA.</t>
  </si>
  <si>
    <t>ariana.suttongrier@gmail.com</t>
  </si>
  <si>
    <t>Sutton-Grier, Ariana/0000-0002-1242-7728</t>
  </si>
  <si>
    <t>National Oceanic and Atmospheric Administration (NOAA) at the University of Maryland/ESSIC [NA14NES4320003]</t>
  </si>
  <si>
    <t>National Oceanic and Atmospheric Administration (NOAA) at the University of Maryland/ESSIC</t>
  </si>
  <si>
    <t>Thank you to Brent Murray for organizing a special session at the Society forWetland Scientists meeting in 2017 which led to this special feature. A. Sutton-Grier was partially supported by the National Oceanic and Atmospheric Administration (NOAA) Grant NA14NES4320003 (Cooperative Institute for Climate and Satellites CICS) at the University of Maryland/ESSIC.</t>
  </si>
  <si>
    <t>0277-5212</t>
  </si>
  <si>
    <t>1943-6246</t>
  </si>
  <si>
    <t>Wetlands</t>
  </si>
  <si>
    <t>10.1007/s13157-018-1039-0</t>
  </si>
  <si>
    <t>Ecology; Environmental Sciences</t>
  </si>
  <si>
    <t>KS3KQ</t>
  </si>
  <si>
    <t>WOS:000518209900013</t>
  </si>
  <si>
    <t>how diversity of species and environments can have specific impacts on human health benefits</t>
  </si>
  <si>
    <t>none</t>
  </si>
  <si>
    <t>Has recommendations for research</t>
  </si>
  <si>
    <t>Maund, PR; Irvine, KN; Reeves, J; Strong, E; Cromie, R; Dallimer, M; Davies, ZG</t>
  </si>
  <si>
    <t>Maund, Phoebe R.; Irvine, Katherine N.; Reeves, Jonathan; Strong, Emily; Cromie, Ruth; Dallimer, Martin; Davies, Zoe G.</t>
  </si>
  <si>
    <t>Wetlands for Wellbeing: Piloting a Nature-Based Health Intervention for the Management of Anxiety and Depression</t>
  </si>
  <si>
    <t>attention restoration theory; biodiversity; blue space; ecosystem services; green space; mental health; mixed methods; nature-based therapy; social prescribing; stress</t>
  </si>
  <si>
    <t>GREEN SPACE; BLUE SPACE; MENTAL-HEALTH; URBAN; ENVIRONMENTS; BIODIVERSITY; WALKING; STRESS; RESIDENTS; RESOURCE</t>
  </si>
  <si>
    <t>Nature-based health interventions (NBIs) for the treatment of poor mental health are becoming increasingly common, yet evidence to support their effectiveness is lacking. We conduct a pilot study of a six-week intervention, aiming to engage individuals with wetland nature for the treatment of anxiety and/or depression. We employed a mixed methods design, using questionnaires, focus groups and semi-structured interviews to evaluate the intervention from the perspective of participants (n = 16) and healthcare professionals (n = 2). Results demonstrate significant improvements in mental health across a range of indicators, including mental wellbeing (Warwick and Edinburgh Mental Wellbeing Scale), anxiety (Generalised Anxiety Disorder-7), stress (Perceived Stress Scale) and emotional wellbeing (Positive and Negative Affect Schedule). Participants and healthcare professionals cited additional outcomes including improved physical health and reduced social isolation. The wetland site provided a sense of escape from participants' everyday environments, facilitating relaxation and reductions in stress. Wetland staff knowledge of the natural world, transportation and group organisation also played a considerable role in the intervention's success. These aspects should be considered in future and existing NBIs to maximise benefits to participants. We propose NBIs based in wetlands are an effective therapy option for individuals diagnosed with anxiety and/or depression.</t>
  </si>
  <si>
    <t>[Maund, Phoebe R.; Reeves, Jonathan; Strong, Emily; Cromie, Ruth] Wildfowl &amp; Wetlands Trust, Slimbridge GL2 7BT, Glos, England; [Maund, Phoebe R.; Davies, Zoe G.] Univ Kent, DICE, Sch Anthropol &amp; Conservat, Canterbury CT2 8NR, Kent, England; [Irvine, Katherine N.] James Hutton Inst, Social Econ &amp; Geog Sci, Aberdeen AB15 8QH, Scotland; [Dallimer, Martin] Univ Leeds, Sustainabil Res Inst, Sch Earth &amp; Environm, Leeds LS9 2JT, W Yorkshire, England</t>
  </si>
  <si>
    <t>University of Kent; James Hutton Institute; University of Leeds</t>
  </si>
  <si>
    <t>Maund, PR (corresponding author), Wildfowl &amp; Wetlands Trust, Slimbridge GL2 7BT, Glos, England.;Maund, PR (corresponding author), Univ Kent, DICE, Sch Anthropol &amp; Conservat, Canterbury CT2 8NR, Kent, England.</t>
  </si>
  <si>
    <t>phoebe.maund@wwt.org.uk; Kate.Irvine@hutton.ac.uk; jonathan.reeves@wwt.org.uk; emily.strong@wwt.org.uk; ruth.cromie@wwt.org.uk; M.Dallimer@leeds.ac.uk; z.g.davies@kent.ac.uk</t>
  </si>
  <si>
    <t>Dallimer, Martin/0000-0001-8120-3309</t>
  </si>
  <si>
    <t>European Research Council (ERC) under the European Union's Horizon 2020 research and innovation programme [726104]; Scottish Government's Rural and Environment Sciences and Analytical Services Division (RESAS)</t>
  </si>
  <si>
    <t>European Research Council (ERC) under the European Union's Horizon 2020 research and innovation programme(European Research Council (ERC)); Scottish Government's Rural and Environment Sciences and Analytical Services Division (RESAS)</t>
  </si>
  <si>
    <t>Z.G.D.; M.D. and K.N.I. are funded by the European Research Council (ERC) under the European Union's Horizon 2020 research and innovation programme (Consolidator Grant No. 726104). K.N.I. was also supported by the Scottish Government's Rural and Environment Sciences and Analytical Services Division (RESAS).</t>
  </si>
  <si>
    <t>10.3390/ijerph16224413</t>
  </si>
  <si>
    <t>JV0KZ</t>
  </si>
  <si>
    <t>WOS:000502057400110</t>
  </si>
  <si>
    <t>How nature based interventions can improve anxiety and/or depression</t>
  </si>
  <si>
    <t>How the 6 week intervention effects mental health (multiple scales used)</t>
  </si>
  <si>
    <t>Scotland (Edinbrugh)</t>
  </si>
  <si>
    <t>Mavoa, S; Lucassen, M; Denny, S; Utter, J; Clark, T; Smith, M</t>
  </si>
  <si>
    <t>Mavoa, Suzanne; Lucassen, Mathijs; Denny, Simon; Utter, Jennifer; Clark, Terryann; Smith, Melody</t>
  </si>
  <si>
    <t>Natural neighbourhood environments and the emotional health of urban New Zealand adolescents</t>
  </si>
  <si>
    <t>Adolescence; Wellbeing; Mental health; Greenness; Blue space; Biodiversity</t>
  </si>
  <si>
    <t>LONG-TERM EXPOSURE; MENTAL-HEALTH; BLUE SPACE; GREEN SPACE; RESIDENTIAL GREEN; BENEFITS; BIODIVERSITY; DEPRESSION; ASSOCIATION; VEGETATION</t>
  </si>
  <si>
    <t>Natural environments green spaces, blue spaces (such as lakes, rivers and beaches), and biodiversity - have potential health benefits. However, there is lack of knowledge about the relationships between these environments and adolescent emotional health. Our study assessed the relationship between the natural environments of residential neighbourhoods and the emotional health of adolescents living in urban New Zealand. Data from 4575 adolescents were drawn from the 2012 wave of the Youth2000 survey series. Emotional health was assessed using the World Health Organization-5 Well-being Index and depressive symptoms were measured using the Reynolds Adolescent Depression Scale-short form. Measures of greenness, vegetation diversity, blue spaces, and a composite available nature index were calculated for participant residential neighbourhoods (within 400 m, 800 m, and 1600 m of the residential address). Cross-classified multilevel linear models were used to assess relationships between each natural environment exposure and each emotional health outcome, and adjusted for sex, age, ethnicity, household deprivation, and neighbourhood deprivation. Results showed significant relationships between reduced depressive symptoms and increased mean greenness, presence of native vegetation, and having a higher nature availability index. Unexpectedly, greater variability in greenness was associated with reduced wellbeing. Our study provides novel evidence of the importance of natural environments for the emotional health of adolescents, adding to mounting evidence that it is important to protect, rehabilitate and plan for natural spaces in urban areas.</t>
  </si>
  <si>
    <t>[Mavoa, Suzanne] Univ Melbourne, Melbourne Sch Populat &amp; Global Hlth, Melbourne, Vic 3010, Australia; [Lucassen, Mathijs] Open Univ, Fac Wellbeing Educ &amp; Language Studies, Milton Keynes, Bucks, England; [Lucassen, Mathijs] Univ Auckland, Dept Psychol Med, Auckland, New Zealand; [Denny, Simon] Univ Auckland, Dept Paediat Child &amp; Youth Hlth, Auckland, New Zealand; [Utter, Jennifer] Univ Auckland, Sch Populat Hlth, Auckland, New Zealand; [Clark, Terryann; Smith, Melody] Univ Auckland, Sch Nursing, Auckland, New Zealand</t>
  </si>
  <si>
    <t>University of Melbourne; Open University - UK; University of Auckland; University of Auckland; University of Auckland; University of Auckland</t>
  </si>
  <si>
    <t>Mavoa, S (corresponding author), Univ Melbourne, Melbourne Sch Populat &amp; Global Hlth, Melbourne, Vic 3010, Australia.</t>
  </si>
  <si>
    <t>suzanne.mavoa@unimelb.edu.au; mathijs.lucassen@open.ac.uk; s.denny@auckland.ac.nz; j.utter@auckland.ac.nz; t.clark@auckland.ac.nz; melody.smith@auckland.ac.nz</t>
  </si>
  <si>
    <t>Smith, Melody/AAP-9986-2021</t>
  </si>
  <si>
    <t>Smith, Melody/0000-0002-0987-2564; Utter, Jennifer/0000-0001-9472-5595</t>
  </si>
  <si>
    <t>Health Promotion Agency; Australian National Health and Medical Research Council Early Career Fellowship [1121035]; Health Research Council of New Zealand Sir Charles Hercus Research Fellowship [17/013]; Ministries of Youth Development, Social Development, Justice, Health, Department of Labour, Families Commission</t>
  </si>
  <si>
    <t>Health Promotion Agency; Australian National Health and Medical Research Council Early Career Fellowship(National Health and Medical Research Council (NHMRC) of Australia); Health Research Council of New Zealand Sir Charles Hercus Research Fellowship(Health Research Council of New Zealand); Ministries of Youth Development, Social Development, Justice, Health, Department of Labour, Families Commission</t>
  </si>
  <si>
    <t>Youth'12 was funded by the Ministries of Youth Development, Social Development, Justice, Health, Department of Labour, Families Commission and the Health Promotion Agency (formerly ALAC). SM is supported by an Australian National Health and Medical Research Council Early Career Fellowship (grant number 1121035). MS is supported by a Health Research Council of New Zealand Sir Charles Hercus Research Fellowship (grant number 17/013).</t>
  </si>
  <si>
    <t>10.1016/j.landurbplan.2019.103638</t>
  </si>
  <si>
    <t>JF8DD</t>
  </si>
  <si>
    <t>WOS:000491614300017</t>
  </si>
  <si>
    <t xml:space="preserve">how blue, green and biodiversity effect health </t>
  </si>
  <si>
    <t>Who 5 scale and depression scale</t>
  </si>
  <si>
    <t>Dzhambov, AM; Hartig, T; Tilov, B; Atanasova, V; Makakova, DR; Dimitrova, DD</t>
  </si>
  <si>
    <t>Dzhambov, Angel M.; Hartig, Terry; Tilov, Boris; Atanasova, Victoria; Makakova, Desislava R.; Dimitrova, Donka D.</t>
  </si>
  <si>
    <t>Residential greenspace is associated with mental health via intertwined capacity-building and capacity-restoring pathways</t>
  </si>
  <si>
    <t>Greenness; Mindfulness; Nature; Resilience; Restoration; Rumination</t>
  </si>
  <si>
    <t>RUMINATIVE THOUGHT STYLE; LONG-TERM EXPOSURE; BLUE SPACES; DISPOSITIONAL MINDFULNESS; CONFIDENCE-INTERVALS; COGNITIVE THERAPY; FIT INDEXES; DEPRESSION; ANXIETY; MEDITATION</t>
  </si>
  <si>
    <t>Background: Experiences afforded by natural settings promote health by helping people to build new adaptive capacities and to restore existing capacities. The aim of this study was to examine relations among restorative experience, mindfulness, rumination and psychological resilience in pathways linking residential greenspace to anxiety and depression symptoms. Methods: We sampled 529 university students residing in Plovdiv, Bulgaria. Residential greenspace was measured in terms of the Normalized Difference Vegetation Index (NDVI) and tree cover density for different buffer sizes. Symptoms of anxiety and depression were measured with the Generalized Anxiety Disorder scale (7-item) and Patient Health Questionnaire (9-item), respectively. The following mediators were assessed by self-report: perceived greenspace, restorative quality of the neighborhood, dispositional mindfulness, rumination, and psychological resilience. Structural equation modelling techniques were used to test the theoretically-indicated relations among the variables. Results: Across different buffer sizes, higher greenspace was consistently associated with reduced scores on the anxiety and depression scales. This effect was partially mediated via several pathways. Specifically, higher NDVI500-m was associated with higher perceived greenspace, and in turn, with higher restorative quality, and then with higher mindfulness, lower rumination, and greater resilience to stress, and consequently, with better mental health. Conclusions: Our findings affirm the potential of greenspace for building psychological resilience and promoting health by offsetting dysfunctional rumination and facilitating mindfulness as components of intertwined capacity-building and capacity-restoring pathways.</t>
  </si>
  <si>
    <t>[Dzhambov, Angel M.; Atanasova, Victoria] Med Univ Plovdiv, Fac Publ Hlth, Dept Hyg &amp; Ecomed, Plovdiv, Bulgaria; [Hartig, Terry] Uppsala Univ, Inst Housing &amp; Urban Res, Uppsala, Sweden; [Tilov, Boris] Med Univ Plovdiv, Med Coll, Plovdiv, Bulgaria; [Tilov, Boris] Univ Agribusiness &amp; Rural Dev, Dept Management, Fac Econ &amp; Management, Plovdiv, Bulgaria; [Makakova, Desislava R.] Med Univ Plovdiv, Fac Dent Med, Dept Prosthet Dent, Plovdiv, Bulgaria; [Dimitrova, Donka D.] Med Univ Plovdiv, Fac Publ Hlth, Dept Hlth Management &amp; Healthcare Econ, Plovdiv, Bulgaria</t>
  </si>
  <si>
    <t>Medical University Plovdiv; Uppsala University; Medical University Plovdiv; University of Agribusiness &amp; Rural Development; Medical University Plovdiv; Medical University Plovdiv</t>
  </si>
  <si>
    <t>Dzhambov, AM (corresponding author), Med Univ Plovdiv, Fac Publ Hlth, Dept Hyg &amp; Ecomed, Plovdiv, Bulgaria.</t>
  </si>
  <si>
    <t>angelleloti@gmail.com</t>
  </si>
  <si>
    <t>Dzhambov, Angel/I-4030-2019; Hartig, Terry/AAC-5676-2021</t>
  </si>
  <si>
    <t>Dzhambov, Angel/0000-0003-2540-5111; Makakova, Desislava/0000-0001-9388-4746</t>
  </si>
  <si>
    <t>National program Young Scientists and Postdoctoral Candidates of the Ministry of Education and Science, Bulgaria</t>
  </si>
  <si>
    <t>We are grateful to the participating students for making this study possible. Angel Dzhambov's work with this paper was partially supported by the National program Young Scientists and Postdoctoral Candidates of the Ministry of Education and Science, Bulgaria.</t>
  </si>
  <si>
    <t>10.1016/j.envres.2019.108708</t>
  </si>
  <si>
    <t>JB6CU</t>
  </si>
  <si>
    <t>WOS:000488653000017</t>
  </si>
  <si>
    <t>how environmental greeness effect mental health</t>
  </si>
  <si>
    <t>Anxiecty scale and health questionnaire</t>
  </si>
  <si>
    <t>Bulgaria</t>
  </si>
  <si>
    <t>Liu, Y; Wang, RY; Grekousis, G; Liu, YQ; Yuan, Y; Li, ZG</t>
  </si>
  <si>
    <t>Liu, Ye; Wang, Ruoyu; Grekousis, George; Liu, Yuqi; Yuan, Yuan; Li, Zhigang</t>
  </si>
  <si>
    <t>Neighbourhood greenness and mental wellbeing in Guangzhou, China: What are the pathways?</t>
  </si>
  <si>
    <t>Greenness; Mental wellbeing; NDVI; Pathways; Structural Equation Modelling; China</t>
  </si>
  <si>
    <t>LONG-TERM EXPOSURE; PHYSICAL-ACTIVITY; BLUE SPACES; NATURAL ENVIRONMENTS; LIVING ENVIRONMENT; RESIDENTIAL GREEN; HEALTH-PROMOTION; SOCIAL COHESION; PUBLIC-HEALTH; TRAFFIC NOISE</t>
  </si>
  <si>
    <t>Rapid urbanization in China has diminished urban residents' opportunities to connect with nature and thereby posed a great threat to their mental wellbeing. While a plethora of studies have disentangled the positive relationship between neighbourhood greenness and mental wellbeing in developed countries, scant attention has been paid to pathways through which neighbourhood greenness affects mental wellbeing among Chinese urban residents. This study aims to systematically explore biopsychosocial pathways linking exposure to neighbourhood greenness to mental wellbeing using survey data collected from 35 neighbourhoods of Guangzhou, China. It uses the Normalized Difference Vegetation Index (NDVI) as the surrogate for residential exposure to greenness, thereby enabling the comparison between China and other countries, Results from Structural Equation Modelling show that exposure to neighbourhood greenness is positively associated with mental wellbeing. Results also suggest that, consistent with what is known, promotion of walking, facilitation of social cohesion and satisfaction with neighbourhood greenspace play separate roles in mediating the protective effect of neighbourhood greenness. However, in contrast to previous findings from developed countries, this study finds no evidence to indicate that reduction in stress and mitigation of air/noise pollution are pathways linking exposure to greenness to mental wellbeing. Our findings suggest the necessity of building sufficient green infrastructure at the neighbourhood scale in promoting mental wellbeing in Chinese urban settings.</t>
  </si>
  <si>
    <t>[Liu, Ye; Wang, Ruoyu; Grekousis, George; Yuan, Yuan] Sun Yat Sen Univ, Sch Geog &amp; Planning, Xingang Xi Rd, Guangzhou 510275, Guangdong, Peoples R China; [Liu, Ye; Wang, Ruoyu; Grekousis, George; Yuan, Yuan] Sun Yat Sen Univ, Guangdong Key Lab Urbanizat &amp; Geosimulat, Guangzhou 510275, Guangdong, Peoples R China; [Liu, Yuqi] Univ Hong Kong, Fac Architecture, Dept Urban Planning &amp; Design, Hong Kong, Peoples R China; [Li, Zhigang] Wuhan Univ, Sch Urban Design, Wuhan 430072, Hubei, Peoples R China; [Li, Zhigang] Wuhan Univ, Hubei Prov Res Ctr Human Settlement Engn &amp; Techno, Wuhan 4330072, Hubei, Peoples R China</t>
  </si>
  <si>
    <t>Sun Yat Sen University; Sun Yat Sen University; University of Hong Kong; Wuhan University; Wuhan University</t>
  </si>
  <si>
    <t>Yuan, Y (corresponding author), Sun Yat Sen Univ, Sch Geog &amp; Planning, Xingang Xi Rd, Guangzhou 510275, Guangdong, Peoples R China.;Li, ZG (corresponding author), Wuhan Univ, Sch Urban Design, Wuhan 430072, Hubei, Peoples R China.</t>
  </si>
  <si>
    <t>liuye25@mail.sysu.edu.cn; wangry6@mail2.sysu.edu.cn; graikousis@mail.sysu.edu.cn; yuqi.liu.13@ucl.ac.uk; yuanyuan@mail.sysu.edu.cn; zhigangli@whu.edu.cn</t>
  </si>
  <si>
    <t>Liu, Ye/J-2787-2019; li, zhigang/AFT-5267-2022; Wang, Ruoyu/S-3360-2019</t>
  </si>
  <si>
    <t>Liu, Ye/0000-0003-2511-5413; Wang, Ruoyu/0000-0002-7240-558X; LI, Zhigang/0000-0002-4679-4622</t>
  </si>
  <si>
    <t>National Natural Science Foundation of China [41871140, 51678577, 41771167]; Innovative Research and Development Team Introduction Program of Guangdong Province [2017ZT07X355]; Sun Yat-sen University [37000-18821113]</t>
  </si>
  <si>
    <t>National Natural Science Foundation of China(National Natural Science Foundation of China (NSFC)); Innovative Research and Development Team Introduction Program of Guangdong Province; Sun Yat-sen University</t>
  </si>
  <si>
    <t>This work was supported by the National Natural Science Foundation of China (41871140, 51678577, 41771167), the Innovative Research and Development Team Introduction Program of Guangdong Province awarded to the first author (Y. Liu) (No. 2017ZT07X355) and the Starting Research Grant from Sun Yat-sen University awarded to the third author (G. Grekousis) (37000-18821113).</t>
  </si>
  <si>
    <t>10.1016/j.landurbplan.2019.103602</t>
  </si>
  <si>
    <t>IW3HL</t>
  </si>
  <si>
    <t>WOS:000484871000016</t>
  </si>
  <si>
    <t>Exposure to greenspace and mental health</t>
  </si>
  <si>
    <t>who-5</t>
  </si>
  <si>
    <t>Gao, T; Zhang, T; Zhu, L; Gao, YA; Qiu, L</t>
  </si>
  <si>
    <t>Gao, Tian; Zhang, Tian; Zhu, Ling; Gao, Yanan; Qiu, Ling</t>
  </si>
  <si>
    <t>Exploring Psychophysiological Restoration and Individual Preference in the Different Environments Based on Virtual Reality</t>
  </si>
  <si>
    <t>urban green space; preference; human health; virtual reality; EEG; profile of mood state; attention restoration</t>
  </si>
  <si>
    <t>URBAN GREEN SPACES; MENTAL-HEALTH; BIODIVERSITY; FOREST; RESPONSES; EXPLORATION; LANDSCAPES; PERCEPTION; EXPERIENCE; EXPOSURE</t>
  </si>
  <si>
    <t>Accumulated evidence claims that urban green spaces (UGS) have a positive impact on the physical and mental health of humans. However, little information is available to clearly reveal what the most important driving factors are for human psychophysiological restoration. In order to unveil this uncertainty, this study employed virtual reality (VR) technology to investigate the physiological (electroencephalogram, EEG), and psychological (attention, positive mood, negative mood) responses and individual preferences for different urban environments. Participants (120) were recruited and randomly assigned to experience six different types of environments varying in land use and vegetation structures, which were: Grey space, blue space, open green space, partly open green space, partly closed green space, and closed green space. The results showed that the experience of the six environmental types through VR devices had positive restorative effects on the individuals' attentional fatigue and negative mood; however, all the participants obtained the highest levels of physiological stress restoration when asked to close their eyes for relaxation. The physiological measurements of the EEG showed no significant differences among the selected types of environments. Meanwhile, the results of the psychological measures suggested that only negative mood showed significant differences of change among the six types of environments, and while the partly open green space had the most positive effect on negative mood, the closed green space had the worst. The blue space and partly closed green space received higher recreational preference ratings than the other four environments, while the closed green space received the lowest recreational preference rating. Moreover, the findings showed that there was a strong positive correlation between people's preferences and the improvement of their positive mood. This indicated that as the popularity of a natural environment increased, so did the benefits of human health and well-being. In addition, this study shows that VR technology may be utilized as a possible surrogate measure to real scenes in evaluating human physiological and psychological restoration in the future. The present findings can provide the theoretical basis and practical guidance for future optimal planning of urban restorative environments.</t>
  </si>
  <si>
    <t>[Gao, Tian; Zhang, Tian; Zhu, Ling; Gao, Yanan; Qiu, Ling] Northwest A&amp;F Univ, Coll Landscape Architecture &amp; Arts, Xianyang 712100, Peoples R China</t>
  </si>
  <si>
    <t>Qiu, L (corresponding author), Northwest A&amp;F Univ, Coll Landscape Architecture &amp; Arts, Xianyang 712100, Peoples R China.</t>
  </si>
  <si>
    <t>qiu.ling@nwsuaf.edu</t>
  </si>
  <si>
    <t>Gao, Yanan/GXG-9743-2022</t>
  </si>
  <si>
    <t>Gao, Yanan/0000-0002-3641-5449</t>
  </si>
  <si>
    <t>National Natural Science Foundation of China [31600580, 31971720]; Research Fund for Advanced Talents of Northwest AF University [Z111021501]; Talent Support of Shaanxi Province [A279021715, A279021830]; Qinling National Forest Ecosystem Research Station [K3180218026]; Fundamental Research Funds for the Central Universities [2452019175]</t>
  </si>
  <si>
    <t>National Natural Science Foundation of China(National Natural Science Foundation of China (NSFC)); Research Fund for Advanced Talents of Northwest AF University; Talent Support of Shaanxi Province; Qinling National Forest Ecosystem Research Station; Fundamental Research Funds for the Central Universities(Fundamental Research Funds for the Central Universities)</t>
  </si>
  <si>
    <t>This research was funded by the National Natural Science Foundation of China, grant numbers 31600580 and 31971720, the Research Fund for Advanced Talents of Northwest A&amp;F University, grant numbers Z111021501, Talent Support of Shaanxi Province, grant numbers A279021715 and A279021830, and Open Research Fund of Qinling National Forest Ecosystem Research Station, grant numbers K3180218026, the Fundamental Research Funds for the Central Universities, grant numbers 2452019175.</t>
  </si>
  <si>
    <t>10.3390/ijerph16173102</t>
  </si>
  <si>
    <t>IZ4EQ</t>
  </si>
  <si>
    <t>gold, Green Published, Green Submitted</t>
  </si>
  <si>
    <t>WOS:000487037500097</t>
  </si>
  <si>
    <t>how different vr environments promote physiological and pychological health indicators</t>
  </si>
  <si>
    <t>Physiological and psychological indicators (profile of mood scale)</t>
  </si>
  <si>
    <t>experimental</t>
  </si>
  <si>
    <t>Reeves, JP; Knight, AT; Strong, EA; Heng, V; Neale, C; Cromie, R; Vercammen, A</t>
  </si>
  <si>
    <t>Reeves, Jonathan P.; Knight, Andrew T.; Strong, Emily A.; Heng, Victor; Neale, Chris; Cromie, Ruth; Vercammen, Ans</t>
  </si>
  <si>
    <t>The Application of Wearable Technology to Quantify Health and Wellbeing Co-benefits From Urban Wetlands</t>
  </si>
  <si>
    <t>blue-green space; wellbeing; stress; salutogenesis; physiology; electroencephalogram (EEG); psychological restoration; blue-green infrastructure</t>
  </si>
  <si>
    <t>HEART-RATE RECOVERY; MENTAL-HEALTH; BLUE SPACES; NATURAL-ENVIRONMENT; GENERAL HEALTH; GREEN SPACES; STRESS; BIODIVERSITY; EXPERIENCES; WALKING</t>
  </si>
  <si>
    <t>Improved nature provision in urban environments offers great potential for achieving both biodiversity conservation and public health objectives. Yet there are few experimental studies that address links between specific natural environments and physiological and/or psychological changes that could contribute to the health and wellbeing co-benefits of urban nature. In addition, relative to green space, the salutogenic impact of aquatic environments are understudied. Here, we present a feasibility study examining the use of low-cost wearable technology to quantify the psychophysiological effects of short-term exposure to urban wetlands. The study took place at the WWT London Wetland Centre, which is characterized by its contrasting biodiverse wetland habitat and surrounding urban setting. Thirty-six healthy participants experienced counterbalanced exposures to an indoor space, a wetland, an urban site. We continuously recorded electroencephalographic (EEG) data and real-time physiological stress responses; with additional monitoring of post-exposure self-reported mood states. We found a significant effect of site on mean resting heart rate (HR), with increased HR in the urban setting, although this was only observed in participants with pre-existing high stress. We found no significant differences in other measures of physiological stress responses (heart rate variability and electrodermal activity). The EEG data showed modulation of high beta band activity only in the wetland setting, potentially related to changes in attention. However, the EEG findings were confounded by low quality signals and artifacts caused by movement and environmental interference. Assessments of self-reported mood states demonstrated an increase in positive feelings in the wetland setting. A pronounced decrease in negative feelings in the wetland setting was observed in stressed individuals only. Our results suggest that pre-existing stress levels may be an important modulator of the salutogenic effect of blue-green space. We provide partial support for the hypothesis that exposure to blue-green space promotes stress recovery and for the use of low-cost psychophysiological measurements to quantify the potential stress-reducing effects of blue-green space exposure in urban dwellers. Further technological refinement is required for this approach to become a viable tool to support evidence-based decision-making for public health and green/blue space provision.</t>
  </si>
  <si>
    <t>[Reeves, Jonathan P.; Strong, Emily A.; Heng, Victor; Cromie, Ruth] WWT, Slimbridge, Glos, England; [Knight, Andrew T.] Imperial Coll London, Dept Life Sci, Ascot, Berks, England; [Knight, Andrew T.] Nelson Mandela Univ, Dept Bot, Port Elizabeth, South Africa; [Knight, Andrew T.] Silwood Grp, London, England; [Neale, Chris] Univ Virginia, Frank Batten Sch Leadership &amp; Publ Policy, Charlottesville, VA USA; [Vercammen, Ans] Imperial Coll London, Ctr Environm Policy, London, England</t>
  </si>
  <si>
    <t>Imperial College London; Nelson Mandela University; University of Virginia; Imperial College London</t>
  </si>
  <si>
    <t>Reeves, JP (corresponding author), WWT, Slimbridge, Glos, England.</t>
  </si>
  <si>
    <t>jonathan.reeves@wwt.org.uk</t>
  </si>
  <si>
    <t>Neale, Christopher/O-3525-2018; Knight, Andrew Thomas/C-8394-2009</t>
  </si>
  <si>
    <t>Neale, Christopher/0000-0003-0478-3500; Knight, Andrew Thomas/0000-0002-6563-0500; Vercammen, Ans/0000-0003-1229-9401</t>
  </si>
  <si>
    <t>Natural Environment Research Council [5414/NEC05173]; HSBC</t>
  </si>
  <si>
    <t>Natural Environment Research Council(UK Research &amp; Innovation (UKRI)Natural Environment Research Council (NERC)); HSBC</t>
  </si>
  <si>
    <t>This research was funded by The Natural Environment Research Council (CEH ref: 5414/NEC05173). The collaboration between WWT and Imperial College London was made possible through the NERC Valuing Nature placement programme. HSBC funded one Emotiv (R) EPOC+ EEG headset and one Empatica E4 wristband.</t>
  </si>
  <si>
    <t>AUG 13</t>
  </si>
  <si>
    <t>10.3389/fpsyg.2019.01840</t>
  </si>
  <si>
    <t>IQ2KK</t>
  </si>
  <si>
    <t>WOS:000480577200002</t>
  </si>
  <si>
    <t>How pychophysiological indiactors are effected in urban wetlands</t>
  </si>
  <si>
    <t>Wearable EEG for physical and multiple health scales</t>
  </si>
  <si>
    <t>England (UK)</t>
  </si>
  <si>
    <t>Cassarino, M; Tuohy, IC; Setti, A</t>
  </si>
  <si>
    <t>Cassarino, Marica; Tuohy, Isabella C.; Setti, Annalisa</t>
  </si>
  <si>
    <t>Sometimes Nature Doesn't Work: Absence of Attention Restoration in Older Adults Exposed to Environmental Scenes</t>
  </si>
  <si>
    <t>EXPERIMENTAL AGING RESEARCH</t>
  </si>
  <si>
    <t>COGNITIVE IMPAIRMENT; SUSTAINED ATTENTION; BLUE SPACES; HEALTH; BENEFITS; DEMENTIA; URBANITY; FAILURES; IMPACTS; QUALITY</t>
  </si>
  <si>
    <t>Background/Study Context: An accumulating body of literature indicates that contact with natural settings can benefit health and wellbeing. Numerous studies support Attention Restoration Theory (ART), which suggests that even short exposure to nature, as opposed to urban environments, can promote attention restoration by stimulating soft fascination. However, it is unclear whether the restorative effects hold in aging. This study tested nature effect on cognitive restoration in older people. Methods: Utilizing the Sustained Attention to Response Task (SART), we explored changes in attentional performance in 75 healthy older individuals before and after exposure to either natural or urban scenes. We checked for age-related differences by comparing the older sample to a group of 21 young participants. Results: We found no effects of environmental exposure for either attentional accuracy, sensitivity to visual targets or reaction times. Our older participants had worse accuracy and slower reaction times than a younger control group who used the same paradigm. Conclusion: The results of our study conducted with older adults show no attention restoration effects in this population. Potential geographical/cultural moderators as wells as methodological considerations are discussed to provide insights for future studies on cognitive restoration in older age.</t>
  </si>
  <si>
    <t>[Cassarino, Marica; Tuohy, Isabella C.; Setti, Annalisa] Univ Coll Cork, Sch Appl Psychol, Cork, Ireland</t>
  </si>
  <si>
    <t>University College Cork</t>
  </si>
  <si>
    <t>Cassarino, M (corresponding author), Univ Coll Cork, Enterprise Ctr, Sch Appl Psychol, Cork, Ireland.</t>
  </si>
  <si>
    <t>mcassarino@ucc.ie</t>
  </si>
  <si>
    <t>Cassarino, Marica/G-2332-2018; Setti, Annalisa/A-5586-2011</t>
  </si>
  <si>
    <t>Cassarino, Marica/0000-0002-1624-921X; Tuohy, Ella/0000-0001-6193-4606; Setti, Annalisa/0000-0002-9741-2559</t>
  </si>
  <si>
    <t>0361-073X</t>
  </si>
  <si>
    <t>1096-4657</t>
  </si>
  <si>
    <t>EXP AGING RES</t>
  </si>
  <si>
    <t>Exp. Aging Res.</t>
  </si>
  <si>
    <t>AUG 8</t>
  </si>
  <si>
    <t>10.1080/0361073X.2019.1627497</t>
  </si>
  <si>
    <t>Geriatrics &amp; Gerontology; Psychology</t>
  </si>
  <si>
    <t>IH4BO</t>
  </si>
  <si>
    <t>WOS:000474436800003</t>
  </si>
  <si>
    <t>The power of environmental scenes and congnitive restoartion in ageing people</t>
  </si>
  <si>
    <t>no</t>
  </si>
  <si>
    <t>sustainted attention to response task (SART) after exposure to environmental scenes</t>
  </si>
  <si>
    <t>Subiza-Perez, M; Hauru, K; Korpela, K; Haapala, A; Lehvavirta, S</t>
  </si>
  <si>
    <t>Subiza-Perez, Mikel; Hauru, Kaisa; Korpela, Kalevi; Haapala, Arto; Lehvavirta, Susanna</t>
  </si>
  <si>
    <t>Perceived Environmental Aesthetic Qualities Scale (PEAQS) - A self-report tool for the evaluation of green-blue spaces</t>
  </si>
  <si>
    <t>Adaptive planning; Cultural ecosystem services; Environmental aesthetics; Landscape perception; Scale development; Urban environment</t>
  </si>
  <si>
    <t>RESTORATIVE EXPERIENCES; URBAN FORESTS; HUMAN HEALTH; LANDSCAPE; PREFERENCE; DIMENSIONS; FRAMEWORK; PLACE; AWE; BIODIVERSITY</t>
  </si>
  <si>
    <t>Aesthetic qualifies of urban green and blue spaces have received considerable attention in scientific literature but are operationalized in multiple ways and lack clear assessment and measurement techniques. To fill in this gap, we developed a Perceived Environmental Aesthetic Qualifies Scale (PEAQS). Based on previous literature both in philosophy and empirical sciences we created a questionnaire with 36 statements and three open questions focusing on the perceived aesthetic qualifies of environments. This questionnaire was used to sample 331 respondents in three sites different in their level of naturalness, human intervention and design: a natural-like but managed urban forest, a partly human-made and intensively managed bay-park and a completely human-made green roof. These sites were selected to represent a variety of urban green and blue infrastructure common in cities. The results suggest a scale that consists of 23 statements and five factors that reflect perceived aesthetic qualifies of urban green spaces: Harmony, Mystery, Multisensority &amp; Nature, Visual Spaciousness and Visual Diversity, and Sublimity. We give guidelines for further development and testing of the scale in order to prove its potential to develop the field of environmental aesthetics and to demonstrate its usefulness for adaptive, evidence-based urban planning and design.</t>
  </si>
  <si>
    <t>[Subiza-Perez, Mikel] Univ Basque Country, UPV EHU, Fac Psychol, Donostia San Sebastian, Spain; [Subiza-Perez, Mikel] Biodonostia Hlth Res Inst, San Sebastian, Spain; [Hauru, Kaisa; Lehvavirta, Susanna] Univ Helsinki, Fac Biol &amp; Environm Sci, Helsinki, Finland; [Korpela, Kalevi] Tampere Univ, Fac Social Sci Psychol, Tampere, Finland; [Haapala, Arto] Univ Helsinki, Fac Arts, Helsinki, Finland</t>
  </si>
  <si>
    <t>University of Basque Country; Instituto de Investigacion Sanitaria Biodonostia; University of Helsinki; Tampere University; University of Helsinki</t>
  </si>
  <si>
    <t>Subiza-Perez, M (corresponding author), Univ Basque Country, Fac Psychol, Dept Social Psychol &amp; Methodol Behav Sci, UPV EHU, Ave Tolosa 70, Donostia San Sebastian 20018, Spain.</t>
  </si>
  <si>
    <t>mikel.subiza@ehu.eus; kaisa.hauru@iki.fi; Kalevi.Korpela@staff.uta.fi; arto.haapala@helsinki.fi; susanna.lehvavirta@helsinki.fi</t>
  </si>
  <si>
    <t>Lehvävirta, Susanna/L-3948-2014; Subiza-Pérez, Mikel/R-1286-2019</t>
  </si>
  <si>
    <t>Lehvävirta, Susanna/0000-0002-8148-9981; Subiza-Pérez, Mikel/0000-0002-6843-8557; Korpela, Kalevi/0000-0001-5529-5799; Haapala, Arto Kalervo/0000-0002-0828-7662</t>
  </si>
  <si>
    <t>University of the Basque Country UPV/EHU: Convocatoria de Contratacion para Formacion de Personal Investigador [PIFUPV-EHU2014/83]</t>
  </si>
  <si>
    <t>University of the Basque Country UPV/EHU: Convocatoria de Contratacion para Formacion de Personal Investigador</t>
  </si>
  <si>
    <t>Participation of MS-P in the study was possible thanks to the double funding from the University of the Basque Country UPV/EHU: Convocatoria de Contratacion para Formacion de Personal Investigador 2014 (PIFUPV-EHU2014/83) and Ayudas movilidad personal investigador en estancias 2016 and due to being a visiting Research Fellow in Univ. of Tampere in 2017.</t>
  </si>
  <si>
    <t>10.1016/j.ufug.2019.126383</t>
  </si>
  <si>
    <t>IW2BN</t>
  </si>
  <si>
    <t>WOS:000484777600031</t>
  </si>
  <si>
    <t>Percieved environmental aesthic qualities questionnaire across different levels of naturalness</t>
  </si>
  <si>
    <t>Closed and open-ended questions in a a pioneer scale (PEAS)</t>
  </si>
  <si>
    <t>Blinded</t>
  </si>
  <si>
    <t>Zari, MP</t>
  </si>
  <si>
    <t>Zari, Maibritt Pedersen</t>
  </si>
  <si>
    <t>Devising Urban Biodiversity Habitat Provision Goals: Ecosystem Services Analysis</t>
  </si>
  <si>
    <t>Wellington; Curitiba; urban ecology; climate change; cities; urban biodiversity; ecosystem biomimicry; ecosystem services</t>
  </si>
  <si>
    <t>GREEN SPACE; SPATIAL-ANALYSIS; COVER PATTERNS; TRADE-OFFS; BENEFITS; HEALTH; FOREST; FRAGMENTATION; LANDSCAPES; AVIFAUNA</t>
  </si>
  <si>
    <t>This paper employs a unique ecosystem services analysis methodology to evaluate how cities could support or generate ecosystem services. Ecosystem services analysis can provide quantifiable goals for urban ecological regeneration that are determined by the site-specific ecology and climate of an urban area. In this research, the ecosystem service of habitat provision is the key focus. The role of urban green space and urban forests is crucial within this. Setting ambitious targets for urban ecological performance and ecosystem services provision is of great importance due to the large negative environmental impact that cities currently have on ecosystems and, therefore, ecosystem service provision, and because healthier ecosystems enable humans to better adapt to climate change through creating potentials for increased resilience. A comparative case study analysing the ecosystem service of habitat provision in two existing urban environments with similar climates (Cfb according to the Koppen Climate Classification System) but in different parts of the world, namely Wellington, New Zealand and Curitiba, Brazil, was conducted to examine how the ecosystem services analysis concept can used to devise urban habitat provision goals. The paper concludes that, although achieving habitat provision goals derived from ecosystem services analysis in urban areas is likely to be difficult, determining quantitative site- and climate-specific staged goals could enable urban design professionals to increase the effectiveness of conservation and regeneration efforts in terms of ecosystem service provision from urban green and blue spaces.</t>
  </si>
  <si>
    <t>[Zari, Maibritt Pedersen] Victoria Univ Wellington, Sch Architecture, Wellington 6011, New Zealand</t>
  </si>
  <si>
    <t>Victoria University Wellington</t>
  </si>
  <si>
    <t>Zari, MP (corresponding author), Victoria Univ Wellington, Sch Architecture, Wellington 6011, New Zealand.</t>
  </si>
  <si>
    <t>maibritt.pedersen@vuw.ac.nz</t>
  </si>
  <si>
    <t>Pedersen Zari, Maibritt/0000-0003-4664-7558</t>
  </si>
  <si>
    <t>10.3390/f10050391</t>
  </si>
  <si>
    <t>IN6TS</t>
  </si>
  <si>
    <t>WOS:000478814700030</t>
  </si>
  <si>
    <t>How ecosystem service analysis can promote urban prosperity in the future, providing better conservation gains thourugh realistic and strategic goals</t>
  </si>
  <si>
    <t>New Zealand and Brazil</t>
  </si>
  <si>
    <t>Mavoa, S; Davern, M; Breed, M; Hahs, A</t>
  </si>
  <si>
    <t>Mavoa, Suzanne; Davern, Melanie; Breed, Martin; Hahs, Amy</t>
  </si>
  <si>
    <t>Higher levels of greenness and biodiversity associate with greater subjective wellbeing in adults living in Melbourne, Australia</t>
  </si>
  <si>
    <t>Subjective wellbeing; Biodiversity; Greenness; Blue space; Private greenness; Public greenness</t>
  </si>
  <si>
    <t>MENTAL-HEALTH; BLUE SPACE; NATURAL ENVIRONMENTS; NATURE RELATEDNESS; RESIDENTIAL GREEN; GENERAL HEALTH; EXPOSURE; IMPACT; INEQUALITIES; INEQUITIES</t>
  </si>
  <si>
    <t>Natural environments may be important for subjective wellbeing, yet evidence is sparse and measures of nature are unspecific. We used linear regression models to investigate the relationship between greenness, biodiversity and blue space and subjective wellbeing in 4,912 adults living in metropolitan Melbourne, Australia. Greenness (overall, private and public) and biodiversity associated with subjective wellbeing. In particular, we highlight the importance of the private greenness-subjective wellbeing association. Our work has implications for urban policy and planning in the context of increased urban densification.</t>
  </si>
  <si>
    <t>[Mavoa, Suzanne; Davern, Melanie] Univ Melbourne, Melbourne Sch Populat &amp; Global Hlth, Melbourne, Vic, Australia; [Davern, Melanie] RMIT Univ, Ctr Urban Res, Melbourne, Vic, Australia; [Breed, Martin] Univ Adelaide, Sch Biol Sci, Adelaide, SA 5005, Australia; [Breed, Martin] Univ Adelaide, Environm Inst, Adelaide, SA 5005, Australia; [Hahs, Amy] Univ Melbourne, Sch Biosci, Melbourne, Vic, Australia; [Hahs, Amy] Urban Ecol Act, Ballarat, Vic, Australia</t>
  </si>
  <si>
    <t>University of Melbourne; Royal Melbourne Institute of Technology (RMIT); University of Adelaide; University of Adelaide; University of Melbourne</t>
  </si>
  <si>
    <t>Mavoa, S (corresponding author), Univ Melbourne, Ctr Hlth Equ, Melbourne Sch Populat &amp; Global Hlth, Level 4,207 Bouverie St, Melbourne, Vic 3010, Australia.</t>
  </si>
  <si>
    <t>suzanne.mavoa@unimelb.edu.au</t>
  </si>
  <si>
    <t>Breed, Martin/G-5482-2011</t>
  </si>
  <si>
    <t>Breed, Martin/0000-0001-7810-9696; Hahs, Amy/0000-0003-0163-6732</t>
  </si>
  <si>
    <t>Australian National Health and Medical Research Council Early Career Fellowship [1121035]; National Environmental Science Program Clean Air and Urban Landscapes Hub</t>
  </si>
  <si>
    <t>Australian National Health and Medical Research Council Early Career Fellowship(National Health and Medical Research Council (NHMRC) of Australia); National Environmental Science Program Clean Air and Urban Landscapes Hub</t>
  </si>
  <si>
    <t>SM is supported by an Australian National Health and Medical Research Council Early Career Fellowship (#1121035). MD is supported by the National Environmental Science Program Clean Air and Urban Landscapes Hub. Rebecca Roberts compiled the NDVI data. Statistical advice was provided by Cameron Patrick from the University of Melbourne Statistical Consulting Centre.</t>
  </si>
  <si>
    <t>10.1016/j.healthplace.2019.05.006</t>
  </si>
  <si>
    <t>ID7VC</t>
  </si>
  <si>
    <t>WOS:000471889900035</t>
  </si>
  <si>
    <t>Environmental greeness, biodiversity and subjective well-being scores</t>
  </si>
  <si>
    <t>Yes (euclidean distances)</t>
  </si>
  <si>
    <t>30m for NDVI</t>
  </si>
  <si>
    <t>Subjective wellbeing surveys (secondary)</t>
  </si>
  <si>
    <t>Pittman, SJ; Rodwell, LD; Shellock, RJ; Williams, M; Attrill, MJ; Bedford, J; Curry, K; Fletcher, S; Gall, SC; Lowther, J; McQuatters-Gollop, A; Moseley, KL; Rees, SE</t>
  </si>
  <si>
    <t>Pittman, S. J.; Rodwell, L. D.; Shellock, R. J.; Williams, M.; Attrill, M. J.; Bedford, J.; Curry, K.; Fletcher, S.; Gall, S. C.; Lowther, J.; McQuatters-Gollop, A.; Moseley, K. L.; Rees, S. E.</t>
  </si>
  <si>
    <t>Marine parks for coastal cities: A concept for enhanced community well-being, prosperity and sustainable city living</t>
  </si>
  <si>
    <t>Marine park; Coastal cities; City seascape; Blue health; Blue urbanism; Sustainable development goals</t>
  </si>
  <si>
    <t>NATURAL-RESOURCE MANAGEMENT; AICHI BIODIVERSITY TARGET; CITIZEN SCIENCE; PHYSICAL-ACTIVITY; BLUE SPACE; PLACE ATTACHMENT; HUMAN HEALTH; THERAPEUTIC LANDSCAPES; CONSERVATION MEASURES; RECREATIONAL VISITS</t>
  </si>
  <si>
    <t>Coastal cities continue to experience rapid urbanisation and population growth worldwide, linked to the diverse economic and social benefits flowing from proximity to the sea. Growing concern over human impacts upon coastal waters and global strategic goals for healthier cities requires that coastal cities develop innovative ways to inspire and empower communities to embrace and cherish city seascapes. Coastal city communities have much to gain from a healthier relationship with the sea. This paper proposes a collaborative community-led marine park concept that celebrates a city's connection to the marine environment, enhances sustainable economic prosperity and enables communities to participate in activities that deepen understanding, value, care and enjoyment of the city seascape. A city marine park (CMP) is not a marine protected area because it does not have biodiversity and heritage protection or ecosystem governance as a primary goal and does not aim to restrict human activities. A CMP enables city communities to collaborate towards a shared vision of elevated status and value for the city seascape. A CMP considers socio-economic and geographical context, including land-sea connectivity, and is integrated within a coastal city's strategic urban planning. This paper highlights core themes of a CMP and the diverse and wide-ranging benefits from coordinated activities that better connect the city community with its seascape. If co-created by the coastal city community and civic leaders, a CMP will form an enduring spatial nexus for progress toward healthy cities addressing multiple interlinked global sustainable development goals.</t>
  </si>
  <si>
    <t>[Pittman, S. J.; Rodwell, L. D.; Shellock, R. J.; Williams, M.; Bedford, J.; Fletcher, S.; Gall, S. C.; Lowther, J.; McQuatters-Gollop, A.] Univ Plymouth, Marine &amp; Coastal Policy Res Unit, Plymouth PL4 8AA, Devon, England; [Pittman, S. J.; Moseley, K. L.] Seascape Res CIC, Plymouth, Devon, England; [Rodwell, L. D.] Univ Plymouth, Fac Sci &amp; Engn, Sch Geog Earth &amp; Environm Sci, Plymouth PL4 8AA, Devon, England; [Williams, M.] Devon &amp; Severn Inshore Fisheries &amp; Conservat Auth, Brixham, England; [Shellock, R. J.] Plymouth Marine Lab, Prospect Pl, Plymouth PL1 3DH, Devon, England; [Shellock, R. J.] Univ Exeter, Med Sch, ECEHH, Truro, England; [Williams, M.; Lowther, J.] Univ Plymouth, Fac Business, Sch Law Criminol &amp; Govt, Plymouth PL4 8AA, Devon, England; [Pittman, S. J.; Attrill, M. J.; Bedford, J.; Gall, S. C.; McQuatters-Gollop, A.; Rees, S. E.] Univ Plymouth, Fac Sci &amp; Engn, Sch Biol &amp; Marine Sci, Plymouth PL4 8AA, Devon, England; [Fletcher, S.] UN Environm World Conservat Monitoring Ctr UNEP W, 219 Huntingdon Rd, Cambridge CB3 ODL, England; [Curry, K.] Plymouth City Council, Strateg Planning &amp; Infrastruct, Ballard House,West Hoe Rd, Plymouth PL1 3BJ, Devon, England; [Moseley, K. L.] Schumacher Coll, Ecol &amp; Spiritual, Dartington TQ9 6EA, England; [Moseley, K. L.] Univ Wales, Trinity St David, Lampeter Campus, Ceredigion SA48 7ED, Wales</t>
  </si>
  <si>
    <t>University of Plymouth; University of Plymouth; Plymouth Marine Laboratory; University of Exeter; University of Plymouth; University of Plymouth; University of Wales Trinity St David</t>
  </si>
  <si>
    <t>Pittman, SJ (corresponding author), Univ Plymouth, Marine Inst, Plymouth PL4 8AA, Devon, England.</t>
  </si>
  <si>
    <t>simon.pittman@plymouth.ac.uk</t>
  </si>
  <si>
    <t>Fletcher, Stephen/B-4224-2009</t>
  </si>
  <si>
    <t>Pittman, Simon/0000-0002-4113-6970; Shellock, Rebecca/0000-0002-0434-3516; Fletcher, Stephen/0000-0003-1180-9844; Rees, Sian/0000-0001-9606-783X; Attrill, Martin/0000-0002-4039-031X</t>
  </si>
  <si>
    <t>NERC [NE/L002663/1, NE/P011217/1, NE/R002738/1, NE/L002663/2] Funding Source: UKRI; Natural Environment Research Council [NE/P011217/1, NE/L002663/1, NE/L002663/2, NE/R002738/1] Funding Source: researchfish</t>
  </si>
  <si>
    <t>NERC(UK Research &amp; Innovation (UKRI)Natural Environment Research Council (NERC)); Natural Environment Research Council(UK Research &amp; Innovation (UKRI)Natural Environment Research Council (NERC))</t>
  </si>
  <si>
    <t>10.1016/j.marpol.2019.02.012</t>
  </si>
  <si>
    <t>HR4OL</t>
  </si>
  <si>
    <t>Green Submitted, Green Accepted</t>
  </si>
  <si>
    <t>WOS:000463125700019</t>
  </si>
  <si>
    <t>How city marine parks could promote human health</t>
  </si>
  <si>
    <t>Conceptual framework for cities</t>
  </si>
  <si>
    <t>Corney, H; Neave, M</t>
  </si>
  <si>
    <t>Corney, Helen; Neave, Melissa</t>
  </si>
  <si>
    <t>I can hear the birds: using audio recordings to assess perceptions of amenity in urban riparian environments</t>
  </si>
  <si>
    <t>URBAN ECOSYSTEMS</t>
  </si>
  <si>
    <t>Biodiversity; Urban river corridors; Restorative qualities; Environmental policy</t>
  </si>
  <si>
    <t>HUMAN HEALTH; NATURE EXPERIENCE; BLUE SPACE; RESTORATION; BENEFITS; BIODIVERSITY; PREFERENCE; IMPACTS; STRESS; VALUES</t>
  </si>
  <si>
    <t>The restorative qualities of nature (amenity values) have been explored for their benefits to human wellbeing. Yet methodology to assess restorative qualities is generally limited to visual stimuli in laboratory situations. Little is known about the influence of other sensory elements or specific environmental conditions on perceptions of amenity and finding data collection methods that encapsulate these complexities is challenging. This study used a novel methodological approach utilising in-situ voice recordings to explore the relationship between human perceptions of amenity and biodiversity levels of urban river corridors in Melbourne, Australia. The research methodology collected in-situ responses to natural stimuli. This enabled the influence of biodiversity levels on public perceptions of the amenity value of urban river corridors to be explored. To investigate this, participants were taken to two sites along a river, one with high biodiversity and one with low biodiversity. Participants walked alone for 30 min along the river corridor recording their experiences on portable voice recorders as they travelled. Utilising voice recordings enabled the collection of rich in-situ experiences of amenity and enhanced self-reporting written responses. This method also gave voice to the influence of other sensory elements along with the visual and allowed the researchers to better appreciate the immersed experiences of the participants. This method provides a means of progressing amenity and perception studies from laboratory settings to real experiences of amenity. It illuminates the links between human wellbeing benefits and contact with biodiversity and can facilitate greater synergy between land management and public perceptions.</t>
  </si>
  <si>
    <t>[Corney, Helen; Neave, Melissa] RMIT Univ, Sch Global Urban &amp; Social Studies, GPO Box 2476, Melbourne, Vic 3001, Australia</t>
  </si>
  <si>
    <t>Royal Melbourne Institute of Technology (RMIT)</t>
  </si>
  <si>
    <t>Corney, H (corresponding author), RMIT Univ, Sch Global Urban &amp; Social Studies, GPO Box 2476, Melbourne, Vic 3001, Australia.</t>
  </si>
  <si>
    <t>helen.corney@rmit.edu.au; melissa.neave@rmit.edu.au</t>
  </si>
  <si>
    <t>Melbourne Water</t>
  </si>
  <si>
    <t>The authors wish to thank volunteers who assisted with the research field days and Parks Victoria for allowing permission to access river corridors under their management. We thank Melbourne Water for financial support (to H.C.). We would also like to thank Dr. Peter Morison and Dr. Cecily Maller and anonymous reviewers for comments on the manuscript.</t>
  </si>
  <si>
    <t>1083-8155</t>
  </si>
  <si>
    <t>1573-1642</t>
  </si>
  <si>
    <t>URBAN ECOSYST</t>
  </si>
  <si>
    <t>Urban Ecosyst.</t>
  </si>
  <si>
    <t>10.1007/s11252-018-0816-0</t>
  </si>
  <si>
    <t>Biodiversity Conservation; Ecology; Environmental Sciences; Urban Studies</t>
  </si>
  <si>
    <t>Biodiversity &amp; Conservation; Environmental Sciences &amp; Ecology; Urban Studies</t>
  </si>
  <si>
    <t>HQ2IV</t>
  </si>
  <si>
    <t>WOS:000462225000003</t>
  </si>
  <si>
    <t>How voice recording of experence along two river walks, one high biodiversity and one low effects wellbeing benefit</t>
  </si>
  <si>
    <t>Coding of voice recordings to assess people perception of amenity, including open ended questions to prompty subjective feelings</t>
  </si>
  <si>
    <t>Dean, AJ; Barnett, AG; Wilson, KA; Turrell, G</t>
  </si>
  <si>
    <t>Dean, Angela J.; Barnett, Adrian G.; Wilson, Kerrie A.; Turrell, Gavin</t>
  </si>
  <si>
    <t>Beyond the 'extinction of experience' - Novel pathways between nature experience and support for nature conservation</t>
  </si>
  <si>
    <t>GLOBAL ENVIRONMENTAL CHANGE-HUMAN AND POLICY DIMENSIONS</t>
  </si>
  <si>
    <t>Conservation support; Bluespace; Greenspace; Urban nature; Concern; Wellbeing; Social interactions</t>
  </si>
  <si>
    <t>PHYSICAL-ACTIVITY; SOCIAL NETWORKS; GREEN SPACES; HUMAN HEALTH; BLUE SPACE; BIODIVERSITY; BEHAVIOR; IMPACT; URBANIZATION; RECREATION</t>
  </si>
  <si>
    <t>It is argued that loss and degradation of natural ecosystems reduce the opportunity to experience nature, and as a consequence, reduce concern for nature and support for nature conservation. This phenomenon is termed the `extinction of experience'. Research suggests a potential association between some nature experiences and conservation support. However, the influence of more typical urban nature experiences on conservation support-such as visiting urban parks-is not well understood. We used a longitudinal, representative dataset of adults in Brisbane, Australia (N = 6181) and examined the effects of nature experiences on conservation support using data from the same individuals surveyed at two time periods (2009 and 2011). Frequency of park use for physical activity with others was associated with conservation support, but no effects were observed for proximity to parkland or area of parkland adjacent to home. Frequency of physical activity on beaches and proximity to waterways were both associated with stronger conservation support, but coastal proximity was associated with lower conservation support. Mediation analysis examined how these experiences elicited support. The influence of park use on conservation support was mediated by all three tested pathways: environmental concern (as theorized by the extinction of experience), and two novel pathways, wellbeing, and social interactions. Neither beach use nor proximity to waterways elicited their effects via environmental concern; the effect of beach use was mediated by wellbeing and social interactions, whereas the effect of waterway proximity was mediated by wellbeing only. To assess whether observed effects were specific to nature, we examined the influence of two contrasting experiences on conservation support: both frequency of exercise classes and weights training elicited conservation support. Although certain urban nature experiences may elicit conservation support, results suggest that a variety of life experiences influence an individual's capacity to support environmental initiatives. Rather than diminishing the role of nature, we argue these findings identify diverse entry points for broadening community support for nature conservation.</t>
  </si>
  <si>
    <t>[Dean, Angela J.; Wilson, Kerrie A.] Univ Queensland, CEED, St Lucia, Qld 4072, Australia; [Dean, Angela J.; Wilson, Kerrie A.] Univ Queensland, Sch Biol Sci, St Lucia, Qld, Australia; [Dean, Angela J.] Univ Queensland, Sch Psychol, St Lucia, Qld, Australia; [Barnett, Adrian G.; Turrell, Gavin] QUT, Inst Hlth &amp; Biomed Innovat, Brisbane, Qld, Australia; [Barnett, Adrian G.; Turrell, Gavin] QUT, Sch Publ Hlth &amp; Social Work, Brisbane, Qld, Australia; [Turrell, Gavin] Deakin Univ, Ctr Populat Hlth Res, Melbourne, Vic, Australia</t>
  </si>
  <si>
    <t>University of Queensland; University of Queensland; University of Queensland; Queensland University of Technology (QUT); Queensland University of Technology (QUT); Deakin University</t>
  </si>
  <si>
    <t>Dean, AJ (corresponding author), Univ Queensland, CEED, St Lucia, Qld 4072, Australia.</t>
  </si>
  <si>
    <t>a.dean@uq.edu.au</t>
  </si>
  <si>
    <t>Wilson, Kerrie/W-4181-2019; Dean, Angela J/D-5618-2011; Barnett, Adrian/I-9850-2012</t>
  </si>
  <si>
    <t>Wilson, Kerrie/0000-0002-0092-935X; Dean, Angela J/0000-0003-4017-4809; Barnett, Adrian/0000-0001-6339-0374; Turrell, Gavin/0000-0002-3576-8744</t>
  </si>
  <si>
    <t>0959-3780</t>
  </si>
  <si>
    <t>1872-9495</t>
  </si>
  <si>
    <t>GLOBAL ENVIRON CHANG</t>
  </si>
  <si>
    <t>Glob. Environ. Change-Human Policy Dimens.</t>
  </si>
  <si>
    <t>10.1016/j.gloenvcha.2019.02.002</t>
  </si>
  <si>
    <t>Environmental Sciences; Environmental Studies; Geography</t>
  </si>
  <si>
    <t>Environmental Sciences &amp; Ecology; Geography</t>
  </si>
  <si>
    <t>HS6KY</t>
  </si>
  <si>
    <t>WOS:000463982000005</t>
  </si>
  <si>
    <t>Higgins, SL; Thomas, F; Goldsmith, B; Brooks, SJ; Hassall, C; Harlow, J; Stone, D; Volker, S; White, P</t>
  </si>
  <si>
    <t>Higgins, Sahran L.; Thomas, Felicity; Goldsmith, Ben; Brooks, Stephen J.; Hassall, Christopher; Harlow, Julian; Stone, Dave; Voelker, Sebastian; White, Piran</t>
  </si>
  <si>
    <t>Urban freshwaters, biodiversity, and human health and well-being: Setting an interdisciplinary research agenda</t>
  </si>
  <si>
    <t>WILEY INTERDISCIPLINARY REVIEWS-WATER</t>
  </si>
  <si>
    <t>freshwater; urban; biodiversity; health; blue space</t>
  </si>
  <si>
    <t>ECOSYSTEM SERVICES; BLUE SPACE; GREEN SPACES; NATURAL ENVIRONMENTS; PUBLIC-HEALTH; MENTAL-HEALTH; AREAS; URBANIZATION; BENEFITS; QUALITY</t>
  </si>
  <si>
    <t>The findings of a national workshop that explored the social and environmental impacts, challenges, and research opportunities associated with the role of urban freshwaters for improved public health are discussed. Bringing together the collective expertise of academics, practitioners, policy, and user-groups from urban aquatic ecology and human health backgrounds, this commentary develops a progressive agenda for future research by synthesizing current understandings and knowledge of urban aquatic biodiversity relative to health-related ecosystem service outcomes, from a cross-sectoral and cross-disciplinary perspective. Key areas include (a) a need for greater interaction between sectors to maximize opportunities for collaboration and to promote the cobenefits (both environmental and health) associated with urban freshwater ecosystems; and (b) the need for a unified understanding and operationalization of the definition of aquatic biodiversity across sectors and disciplines, to improve our understanding of whether actual freshwater biodiversity or the perception of biodiversity is important for maximizing gains in health. Methods of valuation relating to ecosystem services and resource allocation and investment in urban freshwaters are critical in ensuring that research addresses the pathways and contexts within which health and environmental benefits from blue space can be maximized. This article is categorized under: Human Water &gt; Value of Water</t>
  </si>
  <si>
    <t>[Higgins, Sahran L.] Univ Exeter, European Ctr Environm &amp; Human Hlth, Med Sch, Truro, England; [Thomas, Felicity] Univ Exeter, Ctr Med Hist, Exeter, Devon, England; [Goldsmith, Ben] UCL, Dept Geog, London, England; [Brooks, Stephen J.] Nat Hist Museum, Dept Life Sci, London, England; [Hassall, Christopher] Univ Leeds, Sch Biol, Fac Biol Sci, Leeds, W Yorkshire, England; [Harlow, Julian] Nat Environm Strategy Directorate, Dept Environm Food &amp; Rural Affairs, London, England; [Harlow, Julian] Nat Capital Comm Secretariat, London, England; [Stone, Dave] Nat England, Suite D, Peterborough, Cambs, England; [Voelker, Sebastian] Univ Bonn, Inst Hyg &amp; Publ Hlth, GeoHlth Ctr, Bonn, Germany; [White, Piran] Univ York, Dept Environm &amp; Geog, York, N Yorkshire, England</t>
  </si>
  <si>
    <t>University of Exeter; University of Exeter; University of London; University College London; Natural History Museum London; University of Leeds; University of Bonn; University of York - UK</t>
  </si>
  <si>
    <t>Higgins, SL (corresponding author), Univ Exeter, Med Sch, European Ctr Environm &amp; Human Hlth, Knowledge Spa, Truro Campus, Truro TR1 3HD, England.</t>
  </si>
  <si>
    <t>s.higgins@exeter.ac.uk</t>
  </si>
  <si>
    <t>White, Piran Crawfurd Limond/AAH-6851-2021; Völker, Sebastian/AAW-9111-2021; Hassall, Christopher/H-2469-2013</t>
  </si>
  <si>
    <t>White, Piran Crawfurd Limond/0000-0002-7496-5775; Völker, Sebastian/0000-0002-6187-9253; Hassall, Christopher/0000-0002-3510-0728</t>
  </si>
  <si>
    <t>Natural Environment Research Council [NE/N000307/1]; ESRC [ES/L003015/1, ES/S004459/1] Funding Source: UKRI; NERC [NE/N000307/1] Funding Source: UKRI</t>
  </si>
  <si>
    <t>Natural Environment Research Council(UK Research &amp; Innovation (UKRI)Natural Environment Research Council (NERC)); ESRC(UK Research &amp; Innovation (UKRI)Economic &amp; Social Research Council (ESRC)); NERC(UK Research &amp; Innovation (UKRI)Natural Environment Research Council (NERC))</t>
  </si>
  <si>
    <t>Natural Environment Research Council, Grant/Award Number: NE/N000307/1</t>
  </si>
  <si>
    <t>2049-1948</t>
  </si>
  <si>
    <t>WIRES WATER</t>
  </si>
  <si>
    <t>Wiley Interdiscip. Rev.-Water</t>
  </si>
  <si>
    <t>MAR-APR</t>
  </si>
  <si>
    <t>e1339</t>
  </si>
  <si>
    <t>10.1002/wat2.1339</t>
  </si>
  <si>
    <t>Environmental Sciences; Water Resources</t>
  </si>
  <si>
    <t>Environmental Sciences &amp; Ecology; Water Resources</t>
  </si>
  <si>
    <t>HL7UV</t>
  </si>
  <si>
    <t>WOS:000458947400006</t>
  </si>
  <si>
    <t>Planning workshop bringing health ecology together, framework identifying the future of blue health research produced.</t>
  </si>
  <si>
    <t>National Workshop</t>
  </si>
  <si>
    <t>cross-sector and cross-sectional</t>
  </si>
  <si>
    <t>London</t>
  </si>
  <si>
    <t>Garrett, JK; White, MP; Huang, J; Ng, S; Hui, Z; Leung, C; Tse, LA; Fung, F; Elliott, LR; Depledge, MH; Wong, MCS</t>
  </si>
  <si>
    <t>Garrett, Joanne K.; White, Mathew P.; Huang, Junjie; Ng, Simpson; Hui, Zero; Leung, Colette; Tse, Lap Ah; Fung, Franklin; Elliott, Lewis R.; Depledge, Michael H.; Wong, Martin C. S.</t>
  </si>
  <si>
    <t>Urban blue space and health and wellbeing in Hong Kong: Results from a survey of older adults</t>
  </si>
  <si>
    <t>Blue space; Health and wellbeing; Hong Kong; Public health; Urban design</t>
  </si>
  <si>
    <t>LONG-TERM EXPOSURE; GREEN SPACE; PHYSICAL-ACTIVITY; MENTAL-HEALTH; PSYCHOLOGICAL DISTRESS; RESIDENTIAL GREEN; AIR-POLLUTION; NATURAL-ENVIRONMENT; COASTAL PROXIMITY; MORTALITY</t>
  </si>
  <si>
    <t>The potential benefits of aquatic environments for public health have been understudied in Asia. We investigated the relationships between blue space exposures and health outcomes among a sample of predominantly older adults in Hong Kong. Those with a view of blue space from the home were more likely to report good general health, while intentional exposure was linked to greater odds of high wellbeing. Visiting blue space regularly was more likely for those within a 10-15 min walk, and who believed visit locations had good facilities and wildlife present. Longer blue space visits, and those involving higher intensity activities, were associated with higher recalled wellbeing. Our evidence suggests that, at least for older citizens, Hong Kong's blue spaces could be an important public health resource.</t>
  </si>
  <si>
    <t>[Garrett, Joanne K.; White, Mathew P.; Elliott, Lewis R.; Depledge, Michael H.] Univ Exeter, European Ctr Environm &amp; Human Hlth, Exeter, Devon, England; [Huang, Junjie; Ng, Simpson; Hui, Zero; Leung, Colette; Tse, Lap Ah; Fung, Franklin; Wong, Martin C. S.] Chinese Univ Hong Kong, JC Sch Publ Hlth &amp; Primary Care, Fac Med, Hong Kong, Peoples R China</t>
  </si>
  <si>
    <t>University of Exeter; Chinese University of Hong Kong</t>
  </si>
  <si>
    <t>White, MP (corresponding author), Univ Exeter, Sch Med, Royal Cornwall Hosp Treliske, ECEHH,Knowledge Spa, Truro TR1 3HD, Cornwall, England.;Wong, MCS (corresponding author), Chinese Univ Hong Kong, Prince Wales Hosp, JC Sch Publ Hlth &amp; Primary Care, Fac Med,Shatin, 4-F, Hong Kong, Peoples R China.</t>
  </si>
  <si>
    <t>Mathew.White@exeter.ac.uk; wong_martin@cuhk.edu.hk</t>
  </si>
  <si>
    <t>White, Mathew P/AAZ-4113-2021; Wong, Martin/L-4568-2014; Huang, Junjie/ABB-1807-2020; Huang, Junjie/GOV-3795-2022</t>
  </si>
  <si>
    <t>Wong, Martin/0000-0001-7706-9370; Huang, Junjie/0000-0003-2382-4443; Garrett, Joanne/0000-0003-0512-876X; Elliott, Lewis/0000-0003-3864-9465; White, Mathew Philip/0000-0002-4168-7289; Depledge, Michael/0000-0002-7216-0439</t>
  </si>
  <si>
    <t>internal University of Exeter-Chinese University of Hong Kong international collaboration fund</t>
  </si>
  <si>
    <t>This research was supported by an internal University of Exeter-Chinese University of Hong Kong international collaboration fund.</t>
  </si>
  <si>
    <t>10.1016/j.healthplace.2018.11.003</t>
  </si>
  <si>
    <t>HH9VU</t>
  </si>
  <si>
    <t>WOS:000456089600012</t>
  </si>
  <si>
    <t xml:space="preserve">Surveys of wellbeing compared to multiple blue space metrics, including visits, wildlife which increased visitation and recalled wellbeing. </t>
  </si>
  <si>
    <t xml:space="preserve">WHO-wellbeing index, MENE </t>
  </si>
  <si>
    <t>China (Hongkong)</t>
  </si>
  <si>
    <t>Miro, A; Hall, J; Rae, M; O'Brien, D</t>
  </si>
  <si>
    <t>Miro, Alexandre; Hall, Jeanette; Rae, Marcia; O'Brien, David</t>
  </si>
  <si>
    <t>Links between ecological and human wealth in drainage ponds in a fast-expanding city, and proposals for design and management</t>
  </si>
  <si>
    <t>Blue spaces; Habitat design and management; Socio-economic equality; Stormwater ponds; SuDS ecological quality; Urban ponds</t>
  </si>
  <si>
    <t>URBAN GREEN SPACE; SOCIOECONOMIC INEQUALITIES; RELATIVE IMPORTANCE; HUMAN HEALTH; BLUE SPACE; BIODIVERSITY; QUALITY; INTRODUCTIONS; ENVIRONMENTS; ATTRIBUTES</t>
  </si>
  <si>
    <t>Sustainable Drainage Systems (SuDS) are engineering solutions for managing storm water, and they can also provide blue spaces that equitably benefit the health and wellbeing of urban dwellers. The main objectives of this study were to test whether affluent neighbourhoods have SUDS with better ecological quality in one of Europe's fastest developing cities, and to investigate whether designable or manageable habitat characteristics of the SuDS, and the adjacent terrestrial area, are related to ecological quality. We estimated SuDS ecological quality by dimension reduction of five biotic and abiotic ecosystem components through performing a Principal Coordinate Analysis. Then we regressed SUDS ecological quality against socio-economic descriptors of the neighbourhood. We next applied non-parametric Kruskal Wallis tests and probabilistic co-occurrence analysis to assess associations between habitat characteristics and ecological quality of SuDS. Our data showed that more affluent neighbourhoods have SuDS of higher ecological quality. We identified thresholds for some easily designable and manageable habitat characteristics of SuDS clearly linked to their ecological quality. There was strong co-occurrence of habitat characteristics, with aggregation of features linked to poor and good ecological quality, in SuDS designed as detention basins/swales or ponds respectively. Our results can be applied to the design and management of SuDS to foster good ecological quality irrespective of the neighbourhood. This study will be valuable for building and managing SuDS in a nature-based way, thus providing more socially equitable access to high-quality urban blue space.</t>
  </si>
  <si>
    <t>[Miro, Alexandre] CSIC, Integrat Freshwater Ecol Grp IFE, Ctr Adv Studies Blanes, Spanish Res Council CEAB, Acces Cala St Francesc 14, Girona 17300, Catalonia, Spain; [Hall, Jeanette; O'Brien, David] Scottish Nat Heritage, Great Glen House,Leachkin Rd, Inverness IV3 8NW, Scotland; [Rae, Marcia] Highland Council, Glenurquhart Rd, Inverness IV3 5NX, Scotland</t>
  </si>
  <si>
    <t>Consejo Superior de Investigaciones Cientificas (CSIC); CSIC - Centre d'Estudis Avancats de Blanes (CEAB)</t>
  </si>
  <si>
    <t>Miro, A (corresponding author), CSIC, Integrat Freshwater Ecol Grp IFE, Ctr Adv Studies Blanes, Spanish Res Council CEAB, Acces Cala St Francesc 14, Girona 17300, Catalonia, Spain.</t>
  </si>
  <si>
    <t>alexestanys@gmail.com; Jeanette.Hall@nature.scot; Marcia.Rae2@highland.gov.uk; David.OBrien@nature.scot</t>
  </si>
  <si>
    <t>Miró, Alexandre/K-5758-2017</t>
  </si>
  <si>
    <t>Miró, Alexandre/0000-0002-7348-1736; O'Brien, David/0000-0001-7901-295X; Hall, Jeanette/0000-0002-2694-8209</t>
  </si>
  <si>
    <t>Scottish Natural Heritage (SNH), Scotland, UK; Highland Council, Scotland, UK</t>
  </si>
  <si>
    <t>We would like to thank Scottish Natural Heritage (SNH), Scotland, UK and Highland Council, Scotland, UK for funding much of the field work. We would also like to thank Tina Ross of SNH for preparing the maps. We must thank the people of Inverness for their efforts to maintain SuDS as community and biodiversity resources. Finally, we thank the two anonymous reviewers and the associate editor for their valuable comments which helped to improve the manuscript.</t>
  </si>
  <si>
    <t>10.1016/j.landurbplan.2018.08.013</t>
  </si>
  <si>
    <t>HA0KG</t>
  </si>
  <si>
    <t>WOS:000449896300010</t>
  </si>
  <si>
    <t>Sud quality across socioeconimic factors</t>
  </si>
  <si>
    <t>Vaeztavakoli, A; Lak, A; Yigitcanlar, T</t>
  </si>
  <si>
    <t>Vaeztavakoli, Amirafshar; Lak, Azadeh; Yigitcanlar, Tan</t>
  </si>
  <si>
    <t>Blue and Green Spaces as Therapeutic Landscapes: Health Effects of Urban Water Canal Areas of Isfahan</t>
  </si>
  <si>
    <t>blue space; green space; therapeutic landscape; public health; water canal; urban sustainability; Isfahan; Iran</t>
  </si>
  <si>
    <t>MEDICAL GEOGRAPHY; INDEXING MODEL; ENVIRONMENTS; SUSTAINABILITY; INFORMATION; FRAMEWORK; MEGACITY; IMPACTS; METALS; PLACES</t>
  </si>
  <si>
    <t>Blue and green spaces contribute to the quality of cities in various waysranging from providing air corridors and visual amenities to positively affecting public psychological health and wellbeing. Urban blue and green spaces had geopolitical and agricultural functions in the past. These functions are still evident in many cities. They also provide ecological qualities for the surrounding (sub)urban neighborhoods. While in recent decades, many studies have explored the features and characteristics of urban blue and green spaces that are associated with positive health benefits, the healthy lifestyle promoting role of artificial water canals has received little attention. This case report investigates the canals in Isfahan from Iran that branch off from the Zayandeh Rood River and provide blue and green corridors to the city. The aim of this case report study is to explore the health aspects of urban water canals in physical, mental, and social dimensions based on the residents' experiences. The study develops a framework for assessing the quality of therapeutic effect of canals in Isfahan, Iran. The paper employs qualitative content analysis as the methodological approach. In total, 200 people from the residential neighborhoods of the Niasarm Canal participated in semi-structured interviews in early 2018. The results of this research reveal that the canal-with 'upgrade of active life', 'sense of rehabilitation, relaxation and concentration along with the canal', 'promotion of social life', and 'place identity' characteristics-plays an important therapeutic role on the physical, psychological, and social health conditions of local residents.</t>
  </si>
  <si>
    <t>[Vaeztavakoli, Amirafshar; Lak, Azadeh] Shahid Beheshti Univ, Fac Architecture &amp; Urban Planning, Tehran 1983969411, Iran; [Yigitcanlar, Tan] Queensland Univ Technol, Sch Civil Engn &amp; Built Environm, 2 George St, Brisbane, Qld 4000, Australia</t>
  </si>
  <si>
    <t>Shahid Beheshti University; Queensland University of Technology (QUT)</t>
  </si>
  <si>
    <t>Yigitcanlar, T (corresponding author), Queensland Univ Technol, Sch Civil Engn &amp; Built Environm, 2 George St, Brisbane, Qld 4000, Australia.</t>
  </si>
  <si>
    <t>amirafsharvt@gmail.com; a_lak@sbu.ac.ir; tan.yigitcanlar@qut.edu.au</t>
  </si>
  <si>
    <t>Yigitcanlar, Tan/J-1142-2012; Lak, Azadeh/ABB-1490-2021</t>
  </si>
  <si>
    <t>Yigitcanlar, Tan/0000-0001-7262-7118; VAEZTAVAKOLI, AMIRAFSHAR/0000-0001-9111-9098; Lak, Azadeh/0000-0001-8475-1781</t>
  </si>
  <si>
    <t>10.3390/su10114010</t>
  </si>
  <si>
    <t>HC1AQ</t>
  </si>
  <si>
    <t>WOS:000451531700184</t>
  </si>
  <si>
    <t>semi-strucuted interviews around physical, mental and social</t>
  </si>
  <si>
    <t>Iran</t>
  </si>
  <si>
    <t>Russo, A; Cirella, GT</t>
  </si>
  <si>
    <t>Russo, Alessio; Cirella, Giuseppe T.</t>
  </si>
  <si>
    <t>Modern Compact Cities: How Much Greenery Do We Need?</t>
  </si>
  <si>
    <t>garden cities; ecosystem services; healing garden design; biophilic urbanism; edible green infrastructure</t>
  </si>
  <si>
    <t>URBAN GREENSPACE; ECOLOGICAL QUALITY; ECOSYSTEM SERVICES; CLIMATE-CHANGE; SPACE; HEALTH; CITY; SUSTAINABILITY; PERCEPTION; RESIDENTS</t>
  </si>
  <si>
    <t>The modern compact city is identified as a high-density and mixed-use pattern. Its features are believed to contribute to a form of functional urban design that supports sustainability and, restresses, the importance of ecosystem services. Urban green space (UGS) plays a vital role in the design and impact on how compact cities have developed and triggered a scientific discord on the amount of greenery individuals require and to what extent contemporary approaches address the question. Research points to at least 9 m(2) of green space per individual with an ideal UGS value of 50 m(2) per capita. An examination on the perception, use, quality, accessibility and health risks of urban green and blue spaces is explored, alongside the availability of novel UGS and greenery-related approaches that investigate compact city design and planning for health and wellbeing. The amount of 'green' and relating UGS availability in cities indicates vital knowledge modern compact cities must consider.</t>
  </si>
  <si>
    <t>[Russo, Alessio] RUDN Univ, Peoples Friendship Univ Russia, Dept Landscape Design &amp; Sustainable Ecosyst, Moscow 117198, Russia; [Russo, Alessio] Polo Ctr Sustainabil, I-18100 Imperia, Italy; [Cirella, Giuseppe T.] Univ Gdansk, Fac Econ, PL-81824 Sopot, Poland</t>
  </si>
  <si>
    <t>Peoples Friendship University of Russia; Fahrenheit Universities; University of Gdansk</t>
  </si>
  <si>
    <t>Cirella, GT (corresponding author), Univ Gdansk, Fac Econ, PL-81824 Sopot, Poland.</t>
  </si>
  <si>
    <t>alessio.landscape@gmail.com; gt.cirella@ug.edu.pl</t>
  </si>
  <si>
    <t>Russo, Alessio/M-6352-2016; Cirella, Giuseppe T./H-9082-2016</t>
  </si>
  <si>
    <t>Russo, Alessio/0000-0002-0073-7243; Cirella, Giuseppe T./0000-0002-0810-0589</t>
  </si>
  <si>
    <t>10.3390/ijerph15102180</t>
  </si>
  <si>
    <t>GY7TQ</t>
  </si>
  <si>
    <t>Green Accepted, Green Submitted, Green Published, gold</t>
  </si>
  <si>
    <t>WOS:000448818100122</t>
  </si>
  <si>
    <t>Review of urban greeness in cities</t>
  </si>
  <si>
    <t>Publishing Russia</t>
  </si>
  <si>
    <t>Silva, RA; Rogers, K; Buckley, TJ</t>
  </si>
  <si>
    <t>Silva, Raquel A.; Rogers, Kim; Buckley, Timothy J.</t>
  </si>
  <si>
    <t>Advancing Environmental Epidemiology to Assess the Beneficial Influence of the Natural Environment on Human Health and Well-Being</t>
  </si>
  <si>
    <t>ENVIRONMENTAL SCIENCE &amp; TECHNOLOGY</t>
  </si>
  <si>
    <t>PHYSICAL-ACTIVITY; MENTAL-HEALTH; GREEN SPACE; PUBLIC-HEALTH; COGNITIVE FUNCTION; SOCIAL SUPPORT; BLUE SPACE; ASSOCIATION; LANDSCAPE; EXPOSURE</t>
  </si>
  <si>
    <t>Environmental health research can be oriented across a continuum of effects ranging from adverse to cobenefits to salutogenic. We argue that the salutogenic end of the continuum is insufficiently represented in research and as a basis for environmental protection, even though there is growing evidence that the natural environment plays a critical role in blunting adverse effects and promoting human health and well-being. Thus, we advocate for advancing environmental health research through environmental epidemiology that more fully and directly accounts for the salutogenic effects of the natural environment on individual well-being by (1) defining natural environments broadly, from pristine natural areas to urban green infrastructure; (2) considering exposure comprehensively to encompass residential, occupational, and recreational settings, local and distant, day-to-day and occasional; (3) doing individual-level assessments that include both health and well-being outcomes and one's experience of nature, including potential mediation by connectedness to nature and individual perceptions and preferences, as well as sociocultural and demographic effect modifiers; and (4) collecting longitudinal and nationally representative data.</t>
  </si>
  <si>
    <t>[Silva, Raquel A.] US EPA, ORISE, Res Triangle Pk, NC 27711 USA; [Silva, Raquel A.; Rogers, Kim; Buckley, Timothy J.] US EPA, Off Res &amp; Dev, Res Triangle Pk, NC 27711 USA</t>
  </si>
  <si>
    <t>Oak Ridge Associated Universities; United States Department of Energy (DOE); Oak Ridge Institute for Science &amp; Education; United States Environmental Protection Agency; United States Environmental Protection Agency</t>
  </si>
  <si>
    <t>Buckley, TJ (corresponding author), US EPA, Off Res &amp; Dev, Res Triangle Pk, NC 27711 USA.</t>
  </si>
  <si>
    <t>buckley.timothy@epa.gov</t>
  </si>
  <si>
    <t>Buckley, Timothy/AAS-7516-2021</t>
  </si>
  <si>
    <t>Intramural EPA [EPA999999] Funding Source: Medline</t>
  </si>
  <si>
    <t>Intramural EPA</t>
  </si>
  <si>
    <t>AMER CHEMICAL SOC</t>
  </si>
  <si>
    <t>WASHINGTON</t>
  </si>
  <si>
    <t>1155 16TH ST, NW, WASHINGTON, DC 20036 USA</t>
  </si>
  <si>
    <t>0013-936X</t>
  </si>
  <si>
    <t>1520-5851</t>
  </si>
  <si>
    <t>ENVIRON SCI TECHNOL</t>
  </si>
  <si>
    <t>Environ. Sci. Technol.</t>
  </si>
  <si>
    <t>SEP 4</t>
  </si>
  <si>
    <t>10.1021/acs.est.8b01781</t>
  </si>
  <si>
    <t>Engineering, Environmental; Environmental Sciences</t>
  </si>
  <si>
    <t>Engineering; Environmental Sciences &amp; Ecology</t>
  </si>
  <si>
    <t>GS9RG</t>
  </si>
  <si>
    <t>Bronze, Green Accepted</t>
  </si>
  <si>
    <t>WOS:000444061100002</t>
  </si>
  <si>
    <t>Julian, JP; Daly, GS; Weaver, RC</t>
  </si>
  <si>
    <t>Julian, Jason P.; Daly, Graham S.; Weaver, Russell C.</t>
  </si>
  <si>
    <t>University Students' Social Demand of a Blue Space and the Influence of Life Experiences</t>
  </si>
  <si>
    <t>ecosystem services; social demand survey; social-ecological systems; university student perceptions; urban streams</t>
  </si>
  <si>
    <t>ECOSYSTEM SERVICES; ENVIRONMENTAL-EDUCATION; EMERGING ADULTHOOD; HEALTH; PREFERENCES; CHILDHOOD; VALUATION; FRAMEWORK; ATTITUDES; PLACES</t>
  </si>
  <si>
    <t>Blue spaces such as rivers provide many ecosystem services (ES), including freshwater for consumption, habitat, water quality regulation, and multiple cultural amenities. While many studies have quantified the biophysical supply of ES provided by rivers, fewer have explored the social demand for ES due to the considerable effort involved in collecting these data. The San Marcos River (SMR) and the Texas State University (TXST) students that use this blue space represent a dynamic social-ecological system (SES) where nature experiences shape student values of the system. In this study, we survey the TXST student population about their use, value, and perception of the SMR, a highly used river of which headwaters originate on and flow through campus. From our extensive survey of these students, we find that educational and life experiences matter. Overall, we find that student exposure to the SMR in space, time, and experience does have measurable effects on their use, value, and perception of ES. This SES study demonstrates the importance of life experiences, place-based knowledge, and experiential learning in influencing one's well-being and value of natural environments.</t>
  </si>
  <si>
    <t>[Julian, Jason P.; Daly, Graham S.; Weaver, Russell C.] Texas State Univ, Dept Geog, San Marcos, TX 78666 USA</t>
  </si>
  <si>
    <t>Texas State University System; Texas State University San Marcos</t>
  </si>
  <si>
    <t>Julian, JP (corresponding author), Texas State Univ, Dept Geog, San Marcos, TX 78666 USA.</t>
  </si>
  <si>
    <t>Jason.Julian@txstate.edu; graham.daly@txstate.edu; rcweaver@txstate.edu</t>
  </si>
  <si>
    <t>Julian, Jason/0000-0003-1706-4871</t>
  </si>
  <si>
    <t>Texas State University</t>
  </si>
  <si>
    <t>This research was funded by Texas State University through a Research Enhancement Program grant to J.P.J.</t>
  </si>
  <si>
    <t>10.3390/su10093178</t>
  </si>
  <si>
    <t>GW3DA</t>
  </si>
  <si>
    <t>WOS:000446770200221</t>
  </si>
  <si>
    <t>Use, value and perception of the san marco river</t>
  </si>
  <si>
    <t>Questionaires online</t>
  </si>
  <si>
    <t>analystical</t>
  </si>
  <si>
    <t>Qauntitative</t>
  </si>
  <si>
    <t>USA (Texas)</t>
  </si>
  <si>
    <t>Classen, T; Bunz, M</t>
  </si>
  <si>
    <t>Classen, Thomas; Bunz, Maxie</t>
  </si>
  <si>
    <t>Contribution of natural spaces to human health and wellbeing</t>
  </si>
  <si>
    <t>BUNDESGESUNDHEITSBLATT-GESUNDHEITSFORSCHUNG-GESUNDHEITSSCHUTZ</t>
  </si>
  <si>
    <t>German</t>
  </si>
  <si>
    <t>Nature; Health; Urban green spaces; Urban blue spaces; Well-being</t>
  </si>
  <si>
    <t>MENTAL-HEALTH; GREEN SPACES; SURROUNDING GREENNESS; PHYSICAL-ACTIVITY; BIRTH COHORTS; URBAN; ENVIRONMENTS; ASSOCIATIONS; VEGETATION; EXPOSURE</t>
  </si>
  <si>
    <t>Natural spaces and especially urban green and blue spaces have been recognised for a long time as spaces with great potential for protecting and promoting human health and well-being. They may affect human physical, mental and social health and well-being in various ways. On one hand, this comes to pass through reduction and moderation of potential environmental health risks (e.aEurog. noise, particulate matter, heat), psycho-physiological effects of nature experience, as well as physical effects of exposure to natural compounds and elements. On the other hand, natural spaces can affect health and well-being indirectly e.aEurog. through motivation of health promoting behaviour (e.aEurog. more physical activity) and through use as outdoor meeting spaces, by decreasing aggression, and through the resulting positive effects on social well-being. Yet, some potential adverse health effects of nature and landscapes have been reported, too (e.aEurog. insecurity or fear in confusing or unmaintained natural spaces, potential rivalry in usage, allergies or skin irritations due to natural elements, risk of communicable diseases from vectors). Against the background of positive effects of natural spaces, creating, restoring and enhancing urban green and blue spaces are often claimed in terms of sustainable and integrated urban development. But which associations and impacts exist between natural spaces and health? What are the resulting demands when integrating natural spaces for a health-promoting implementation practice? This overview article provides some answers to these questions.</t>
  </si>
  <si>
    <t>[Classen, Thomas] Landeszentrum Gesundheit Nordrhein Westfalen, Fachgruppe Gesundheitsanal &amp; Prognosen, Gesundheitscampus 10, D-44801 Bochum, Germany; [Bunz, Maxie] Umweltbundesamt, Fachgebiet Umweltmed &amp; Gesundheitl Bewertung 2 1, Berlin, Germany</t>
  </si>
  <si>
    <t>Classen, T (corresponding author), Landeszentrum Gesundheit Nordrhein Westfalen, Fachgruppe Gesundheitsanal &amp; Prognosen, Gesundheitscampus 10, D-44801 Bochum, Germany.</t>
  </si>
  <si>
    <t>thomas.classen@lzg.nrw.de</t>
  </si>
  <si>
    <t>233 SPRING ST, NEW YORK, NY 10013 USA</t>
  </si>
  <si>
    <t>1436-9990</t>
  </si>
  <si>
    <t>1437-1588</t>
  </si>
  <si>
    <t>BUNDESGESUNDHEITSBLA</t>
  </si>
  <si>
    <t>Bundesgesundheitsblatt-Gesund.</t>
  </si>
  <si>
    <t>10.1007/s00103-018-2744-9</t>
  </si>
  <si>
    <t>GH5WB</t>
  </si>
  <si>
    <t>WOS:000433507100010</t>
  </si>
  <si>
    <t>Review of what drives health factors of blue green spaces, and what negative impacts they can have</t>
  </si>
  <si>
    <t>Couper, PR</t>
  </si>
  <si>
    <t>Couper, Pauline R.</t>
  </si>
  <si>
    <t>The embodied spatialities of being in nature: encountering the nature/culture binary in green/blue space</t>
  </si>
  <si>
    <t>CULTURAL GEOGRAPHIES</t>
  </si>
  <si>
    <t>embodiment; green; blue space; nature; culture; phenomenology; sailing; sea</t>
  </si>
  <si>
    <t>HEALTH; LANDSCAPE; EXPERIENCE; GEOGRAPHY; COAST; SELF; CARE; AUTOETHNOGRAPHY; ENVIRONMENT; BEHAVIOR</t>
  </si>
  <si>
    <t>The contact with nature provided by urban green and blue space is said to be beneficial for mental health, physical health, social contact and cohesion, and for learning and development among children. Yet the literature identifying these benefits fails to recognise that nature', as a category in binary relation with culture' (or humans'), is a cultural construct. Acknowledging this inevitably raises questions about exactly what contact with nature' in such spaces might consist in. Taking inspiration from more-than-representational and more-than-human geographies, this article uses Merleau-Ponty's phenomenology to interrogate encounters with nature' through small boat sailing. I argue that being on a boat entails different embodied spatialities of being from terrestrial urban life, and that this heightens a sense of nature as Other. The nature/culture binary, while a cultural idea, is materially (re)produced through the ordering of space, particularly in dense urban areas. This implies that the significance of urban green/blue space may be not only the presence of non-humans (the green/blue) but also the nature of the space in which we encounter nature. There is, then, potential for cultural geography to contribute to a much more nuanced interrogation of how people experience urban green/blue space, foregrounding the cultural conditions that shape such experience.</t>
  </si>
  <si>
    <t>[Couper, Pauline R.] York St John Univ, Geog, York, N Yorkshire, England</t>
  </si>
  <si>
    <t>York Saint John University</t>
  </si>
  <si>
    <t>Couper, PR (corresponding author), York St John Univ, York, N Yorkshire, England.</t>
  </si>
  <si>
    <t>p.couper@yorksj.ac.uk</t>
  </si>
  <si>
    <t>Couper, Pauline/J-5246-2019</t>
  </si>
  <si>
    <t>Couper, Pauline/0000-0003-0083-223X</t>
  </si>
  <si>
    <t>1474-4740</t>
  </si>
  <si>
    <t>1477-0881</t>
  </si>
  <si>
    <t>CULT GEOGR</t>
  </si>
  <si>
    <t>Cult. Geogr.</t>
  </si>
  <si>
    <t>10.1177/1474474017732978</t>
  </si>
  <si>
    <t>Environmental Studies; Geography</t>
  </si>
  <si>
    <t>GC4WQ</t>
  </si>
  <si>
    <t>WOS:000429786200002</t>
  </si>
  <si>
    <t>Qualitative account of experiences nature through a boat</t>
  </si>
  <si>
    <t>Autoethnogrpahic</t>
  </si>
  <si>
    <t>Helbich, M; de Beurs, D; Kwan, MP; O'Connor, RC; Groenewegen, PP</t>
  </si>
  <si>
    <t>Helbich, Marco; de Beurs, Derek; Kwan, Mei-Po; O'Connor, Rory C.; Groenewegen, Peter P.</t>
  </si>
  <si>
    <t>Natural environments and suicide mortality in the Netherlands: a cross-sectional, ecological study</t>
  </si>
  <si>
    <t>LANCET PLANETARY HEALTH</t>
  </si>
  <si>
    <t>Background Natural outdoor environments, such as green spaces (ie, grass, forests, or parks), blue spaces (ie, visible bodies of fresh or salt water), and coastal proximity, have been increasingly shown to promote mental health. However, little is known about how and the extent to which these natural environments are associated with suicide mortality. Our aim was to investigate whether the availability of green space and blue space within people's living environments and living next to the coast are protective against suicide mortality. Methods In this cross-sectional, ecological study, we analysed officially confirmed deaths by suicide between 2005 and 2014 per municipality in the Netherlands. We calculated indexes to measure the proportion of green space and blue space per municipality and the coastal proximity of each municipality using a geographical information system. We fitted Bayesian hierarchical Poisson regressions to assess associations between suicide risk, green space, blue space, and coastal proximity, adjusted for risk and protective factors. Findings Municipalities with a large proportion of green space (relative risk 0.879, 95% credibility interval 0.779-0.991) or a moderate proportion of green space (0.919, 0.846-0.998) showed a reduced suicide risk compared with municipalities with less green space. Green space did not differ according to urbanicity in relation to suicide. Neither blue space nor coastal proximity was associated with suicide risk. The geographical variation in the residual relative suicide risk was substantial and the south of the Netherlands was at high risk. Interpretation Our findings support the notion that exposure to natural environments, particularly to greenery, might have a role in reducing suicide mortality. If confirmed by future studies on an individual level, the consideration of environmental exposures might enrich suicide prevention programmes. Copyright (c) The Author(s). Published by Elsevier Ltd. This is an Open Access article under the CC BY-NC-ND 4.0 license.</t>
  </si>
  <si>
    <t>[Helbich, Marco; Kwan, Mei-Po; Groenewegen, Peter P.] Univ Utrecht, Dept Human Geog &amp; Spatial Planning, NL-3584 CS Utrecht, Netherlands; [de Beurs, Derek; Groenewegen, Peter P.] Netherlands Inst Hlth Serv Res, Utrecht, Netherlands; [Kwan, Mei-Po] Univ Illinois, Dept Geog &amp; Geog Informat Sci, Urbana, IL USA; [O'Connor, Rory C.] Univ Glasgow, Inst Hlth &amp; Wellbeing, Suicidal Behaviour Res Lab, Glasgow, Lanark, Scotland</t>
  </si>
  <si>
    <t>Utrecht University; Netherlands Institute for Health Services Research; University of Illinois System; University of Illinois Urbana-Champaign; University of Glasgow</t>
  </si>
  <si>
    <t>Helbich, M (corresponding author), Univ Utrecht, Dept Human Geog &amp; Spatial Planning, NL-3584 CS Utrecht, Netherlands.</t>
  </si>
  <si>
    <t>m.helbich@uu.nl</t>
  </si>
  <si>
    <t>de Beurs, Derek/AAR-7501-2020; Kwan, Mei-Po/S-4162-2016; de Beurs, Derek/B-5232-2014</t>
  </si>
  <si>
    <t xml:space="preserve">de Beurs, Derek/0000-0002-0166-6897; Kwan, Mei-Po/0000-0001-8602-9258; </t>
  </si>
  <si>
    <t>European Research Council [714993]; Open Access Fund at Utrecht University; European Research Council (ERC) [714993] Funding Source: European Research Council (ERC)</t>
  </si>
  <si>
    <t>European Research Council(European Research Council (ERC)); Open Access Fund at Utrecht University; European Research Council (ERC)(European Research Council (ERC)Spanish Government)</t>
  </si>
  <si>
    <t>The NEEDS project received funding from the European Research Council under the European Union's Horizon 2020 research and innovation program (grant agreement number 714993). We acknowledge the financial support of the Open Access Fund at Utrecht University.</t>
  </si>
  <si>
    <t>2542-5196</t>
  </si>
  <si>
    <t>LANCET PLANET HEALTH</t>
  </si>
  <si>
    <t>Lancet Planet. Health</t>
  </si>
  <si>
    <t>E134</t>
  </si>
  <si>
    <t>E139</t>
  </si>
  <si>
    <t>10.1016/S2542-5196(18)30033-0</t>
  </si>
  <si>
    <t>VJ0OK</t>
  </si>
  <si>
    <t>Green Published, gold, Green Accepted</t>
  </si>
  <si>
    <t>WOS:000525868500015</t>
  </si>
  <si>
    <t>How blue/green exposure relates to suicide</t>
  </si>
  <si>
    <t>25x25</t>
  </si>
  <si>
    <t>Population data on number of suicides</t>
  </si>
  <si>
    <t>cross-section ecological</t>
  </si>
  <si>
    <t>Netherlands</t>
  </si>
  <si>
    <t>Dennis, M; Barlow, D; Cavan, G; Cook, PA; Gilchrist, A; Handley, J; James, P; Thompson, J; Tzoulas, K; Wheater, CP; Lindley, S</t>
  </si>
  <si>
    <t>Dennis, Matthew; Barlow, David; Cavan, Gina; Cook, Penny A.; Gilchrist, Anna; Handley, John; James, Philip; Thompson, Jessica; Tzoulas, Konstantinos; Wheater, C. Philip; Lindley, Sarah</t>
  </si>
  <si>
    <t>Mapping Urban Green Infrastructure: A Novel Landscape-Based Approach to Incorporating Land Use and Land Cover in the Mapping of Human-Dominated Systems</t>
  </si>
  <si>
    <t>health and well-being; GIS; remote sensing; urban ecosystems; social-ecological systems</t>
  </si>
  <si>
    <t>ECOSYSTEM SERVICES; ENVIRONMENTAL JUSTICE; PUBLIC-HEALTH; SPACE; MORPHOLOGY; QUALITY; GARDENS; CITIES; CLASSIFICATIONS; BIODIVERSITY</t>
  </si>
  <si>
    <t>Common approaches tomapping green infrastructure in urbanised landscapes invariably focus on measures of land use or land cover and associated functional or physical traits. However, such onedimensional perspectives do not accurately capture the character and complexity of the landscapes in which urban inhabitants live. The new approach presented in this paper demonstrates how open-source, high spatial and temporal resolution data with global coverage can be used tomeasure and represent the landscape qualities of urban environments. Through going beyond simple metrics of quantity, such as percentage green and blue cover, it is now possible to explore the extent to which landscape quality helps to unpick the mixed evidence presented in the literature on the benefits of urban nature to human well-being. Here we present a landscape approach, employing remote sensing, GIS and data reduction techniques to map urban green infrastructure elements in a large U.K. city region. Comparison with existing urban datasets demonstrates considerable improvement in terms of coverage and thematic detail. The characterisation of landscapes, using census tracts as spatial units, and subsequent exploration of associations with social-ecological attributes highlights the further detail that can be uncovered by the approach. For example, eight urban landscape types identified for the case study city exhibited associations with distinct socioeconomic conditions accountable not only to quantities but also qualities of green and blue space. The identification of individual landscape features through simultaneous measures of land use and land cover demonstrated unique and significant associations between the former and indicators of human health and ecological condition. The approach may therefore provide a promising basis for developing further insight into processes and characteristics that affect human health and well-being in urban areas, both in the United Kingdom and beyond.</t>
  </si>
  <si>
    <t>[Dennis, Matthew; Gilchrist, Anna; Handley, John; Lindley, Sarah] Univ Manchester, Sch Environm Educ &amp; Dev, Oxford Rd, Manchester M13 9PL, Lancs, England; [Barlow, David] Manchester City Council, Manchester Town Hall,Albert Sq, Manchester M60 2LA, Lancs, England; [Cavan, Gina; Tzoulas, Konstantinos; Wheater, C. Philip] Manchester Metropolitan Univ, Sch Sci &amp; Environm, Oxford Rd, Manchester M15 6BH, Lancs, England; [Cook, Penny A.] Univ Salford, Sch Hlth Sci, Manchester M5 4WT, Lancs, England; [James, Philip] Univ Salford, Sch Environm &amp; Life Sci, Manchester M5 4WT, Lancs, England; [Thompson, Jessica] City Trees, 6 Kansas Ave, Salford M50 2GL, Lancs, England</t>
  </si>
  <si>
    <t>N8 Research Partnership; University of Manchester; Manchester Metropolitan University; University of Salford; N8 Research Partnership; University of Manchester; University of Salford</t>
  </si>
  <si>
    <t>Dennis, M (corresponding author), Univ Manchester, Sch Environm Educ &amp; Dev, Oxford Rd, Manchester M13 9PL, Lancs, England.</t>
  </si>
  <si>
    <t>matthew.dennis@manchester.ac.uk; d.barlow@manchester.gov.uk; G.Cavan@mmu.ac.uk; p.a.cook@salford.ac.uk; Anna.Gilchrist@manchester.ac.uk; John.Handley@manchester.ac.uk; P.James@Salford.ac.uk; JessicaT@cityoftrees.org.uk; K.Tzoulas@mmu.ac.uk; P.Wheater@mmu.ac.uk; Sarah.Lindley@Manchester.ac.uk</t>
  </si>
  <si>
    <t>Lindley, Sarah/0000-0003-0581-4284; Cavan, Gina/0000-0002-8429-870X; Tzoulas, Konstantinos/0000-0001-5363-2050; Cook, Penny A./0000-0001-6435-8050</t>
  </si>
  <si>
    <t>Green Infrastructure and the Health and Well-Being Influences on an Ageing Population (GHIA) project; Natural Environment Research Council; Arts and Humanities Research Council; Economic and Social Research Council under the Valuing Nature Programme [NE/N013530/1]; Natural Environment Research Council [NE/N013530/1] Funding Source: researchfish; NERC [NE/N013530/1] Funding Source: UKRI</t>
  </si>
  <si>
    <t>Green Infrastructure and the Health and Well-Being Influences on an Ageing Population (GHIA) project; Natural Environment Research Council(UK Research &amp; Innovation (UKRI)Natural Environment Research Council (NERC)); Arts and Humanities Research Council(UK Research &amp; Innovation (UKRI)Arts &amp; Humanities Research Council (AHRC)); Economic and Social Research Council under the Valuing Nature Programme; Natural Environment Research Council(UK Research &amp; Innovation (UKRI)Natural Environment Research Council (NERC)); NERC(UK Research &amp; Innovation (UKRI)Natural Environment Research Council (NERC))</t>
  </si>
  <si>
    <t>This work was carried out as part of the Green Infrastructure and the Health and Well-Being Influences on an Ageing Population (GHIA) project (2016-2019) www.ghia.org.uk. Funders: Natural Environment Research Council, the Arts and Humanities Research Council and the Economic and Social Research Council under the Valuing Nature Programme. NE/N013530/1. We gratefully acknowledge input from the GHIA team and its partners and advisors.</t>
  </si>
  <si>
    <t>10.3390/land7010017</t>
  </si>
  <si>
    <t>GA8AJ</t>
  </si>
  <si>
    <t>gold, Green Accepted, Green Submitted</t>
  </si>
  <si>
    <t>WOS:000428560100015</t>
  </si>
  <si>
    <t>How fine resolution mapping can reveal greater information for assessing LSOAs</t>
  </si>
  <si>
    <t>yes</t>
  </si>
  <si>
    <t>multiple</t>
  </si>
  <si>
    <t>England (Manchester)</t>
  </si>
  <si>
    <t>Viinikka, A; Paloniemi, R; Assmuth, T</t>
  </si>
  <si>
    <t>Viinikka, Arto; Paloniemi, Riikka; Assmuth, Timo</t>
  </si>
  <si>
    <t>Mapping the distributive environmental justice of urban waters</t>
  </si>
  <si>
    <t>FENNIA-INTERNATIONAL JOURNAL OF GEOGRAPHY</t>
  </si>
  <si>
    <t>distributive environmental justice; urban water; socio-economic and demographic group; urban planning; ecosystem services; GIS</t>
  </si>
  <si>
    <t>GREEN SPACE; ECOSYSTEM SERVICES; HUMAN HEALTH; TRAVEL THRESHOLDS; BLUE SPACE; BENEFITS; AREAS; PERCEPTIONS; INDICATORS; CHALLENGES</t>
  </si>
  <si>
    <t>In this paper, we identify patterns of distributive environmental justice in the Helsinki Metropolitan Area (HMA) in terms of spatial proximity of urban waters, as a potential provider of a diverse set of environmental goods and well-being. Our focus is on the question how equally these benefits are distributed in HMA? To answer this we apply a GIS-based clustering analysis with spatial statistics to map the good and deprived access of different socio-economic and demographic groups to urban blue. We use income, education, language and age as factors to delineate residential areas and found not only differences in how various population groups are located in the four different municipalities of the HMA, but also differences in group distances to the nearest water areas. Results show that high income and high educational background, Swedish language and high age are factors more frequently related to living closer to water areas. At the same time, children, foreigners, and people having lower economic status tend to live further away from urban blue. This is important knowledge to be integrated into urban planning. The recognition of lacking opportunities suggests more consideration towards these aforementioned population groups to reduce inequality and to ensure just distribution of accessible and usable urban nature in the HMA.</t>
  </si>
  <si>
    <t>[Viinikka, Arto; Paloniemi, Riikka; Assmuth, Timo] Finnish Environm Inst SYKE, Mechelininkatu 34a,POB 140, FI-00251 Helsinki, Finland</t>
  </si>
  <si>
    <t>Finnish Environment Institute</t>
  </si>
  <si>
    <t>Viinikka, A (corresponding author), Finnish Environm Inst SYKE, Mechelininkatu 34a,POB 140, FI-00251 Helsinki, Finland.</t>
  </si>
  <si>
    <t>arto.viinikka@ymparisto.fi; riikka.paloniemi@ymparisto.fi; timo.assmuth@ymparisto.fi</t>
  </si>
  <si>
    <t>Paloniemi, Riikka/IWM-4412-2023</t>
  </si>
  <si>
    <t>Viinikka, Arto/0000-0001-7905-0446; Paloniemi, Riikka/0000-0003-2853-535X</t>
  </si>
  <si>
    <t>Academy of Finland [263403]; BRO project [304515]; Academy of Finland (AKA) [263403, 263403] Funding Source: Academy of Finland (AKA)</t>
  </si>
  <si>
    <t>Academy of Finland(Research Council of Finland); BRO project; Academy of Finland (AKA)(Research Council of Finland)</t>
  </si>
  <si>
    <t>We would like to thank Leena Kopperoinen and Lasse Peltonen for participating in the research design as a part of the ENJUSTESS research project. We would also like to thank Pekka Itkonen and Daniela Hellgren for participating in the research design and data processing in earlier stages of the project, and Athanasios Votsis for providing his expert knowledge about the spatial clustering method used in this study. We would also like to thank the Academy of Finland for funding the project (263403) as a part of the Academy Programme Sustainable Governance of Aquatic Resources (AKVA) and the BRO project (304515) as a part of the key project funding Forging ahead with research.</t>
  </si>
  <si>
    <t>GEOGRAPHICAL SOC FINLAND</t>
  </si>
  <si>
    <t>HELSINKI</t>
  </si>
  <si>
    <t>JUSTAF HALLSTROMIN KATU 2, DEPT GEOSCIENCES &amp; GEOGRAPHY, PO BOX 64, HELSINKI, 00014, FINLAND</t>
  </si>
  <si>
    <t>0015-0010</t>
  </si>
  <si>
    <t>1798-5617</t>
  </si>
  <si>
    <t>FENNIA</t>
  </si>
  <si>
    <t>Fennia</t>
  </si>
  <si>
    <t>10.11143/fennia.64137</t>
  </si>
  <si>
    <t>GH4WC</t>
  </si>
  <si>
    <t>WOS:000433404800003</t>
  </si>
  <si>
    <t>How distance to urban blue spaces correlates with socio economic factors</t>
  </si>
  <si>
    <t>Finland (Helsinki)</t>
  </si>
  <si>
    <t>Haeffner, M; Jackson-Smith, D; Buchert, M; Risley, J</t>
  </si>
  <si>
    <t>Haeffner, Melissa; Jackson-Smith, Douglas; Buchert, Martin; Risley, Jordan</t>
  </si>
  <si>
    <t>Landscape and Urban Planning</t>
  </si>
  <si>
    <t>GREEN SPACE; ENVIRONMENTAL JUSTICE; POLITICAL-ECONOMY; PHYSICAL-ACTIVITY; PUBLIC-HEALTH; ACCESSIBILITY; ACCESS; PARKS; DISPARITIES; IMPACT</t>
  </si>
  <si>
    <t>Are urban waterways amenities, and if so, are there inequities in household access? While urban waterways represent a potential site for access to nature within the urban environment, there have been few studies on the accessibility and interactions with water features in particular, what we refer to as blue spaces. This study drew on a sample of households in Northern Utah living in neighborhoods with a nearby river or canal to ask if local waterways provide positive impacts to households and if proximity to them increased the likelihood of households spending time at them and being familiar with them. We used multivariate regression to demonstrate that socio-structural and accessibility characteristics shape patterns of familiarity and use, and mediate the impacts of blue space characteristics on households. We found evidence supporting the idea that urban waterways are positive amenities for neighborhood quality of life. We also found that the farther away a household lived from the blue space, the less likely they were to be aware of or use the amenity. Surprisingly, we also found that while high socio-economic status (SES) and white respondents generally lived further from points of access to urban waterways, they reported higher familiarity and were more likely to spend time at them than lower SES and nonwhite Hispanic households. Results suggest that future research and community engagement related to urban blue spaces should be attentive to how social structure and the characteristics of the built environment mediate access to these amenities.</t>
  </si>
  <si>
    <t>[Haeffner, Melissa; Risley, Jordan] Utah State Univ, Logan, UT 84322 USA; [Jackson-Smith, Douglas] Ohio State Univ, Columbus, OH 43210 USA; [Buchert, Martin] Univ Utah, Salt Lake City, UT 84112 USA</t>
  </si>
  <si>
    <t>Utah System of Higher Education; Utah State University; University System of Ohio; Ohio State University; Utah System of Higher Education; University of Utah</t>
  </si>
  <si>
    <t>Haeffner, M (corresponding author), Utah State Univ, Logan, UT 84322 USA.</t>
  </si>
  <si>
    <t>melissa.haeffner@usu.edu</t>
  </si>
  <si>
    <t>Haeffner, Melissa/AGI-1596-2022; Jackson-Smith, Douglas/AAQ-8400-2021</t>
  </si>
  <si>
    <t>Haeffner, Melissa/0000-0002-7976-3769; Jackson-Smith, Douglas/0000-0002-0671-5862; Buchert, Martin/0000-0001-5974-001X</t>
  </si>
  <si>
    <t>NSF EPSCoR as part of the State of Utah EPSCoR Research Infrastructure Improvement Award [IIA 1208732]; Office Of The Director; Office of Integrative Activities [1208732] Funding Source: National Science Foundation</t>
  </si>
  <si>
    <t>NSF EPSCoR as part of the State of Utah EPSCoR Research Infrastructure Improvement Award; Office Of The Director; Office of Integrative Activities(National Science Foundation (NSF)NSF - Office of the Director (OD))</t>
  </si>
  <si>
    <t>This research was supported by NSF EPSCoR grant IIA 1208732 awarded to Utah State University, as part of the State of Utah EPSCoR Research Infrastructure Improvement Award. Any opinions, findings, and conclusions or recommendations expressed are those of the author (s) and do not necessarily reflect the views of the National Science Foundation. We would like to thank the household survey respondents without whom this project would not be possible.</t>
  </si>
  <si>
    <t>10.1016/j.landurbplan.2017.06.008</t>
  </si>
  <si>
    <t>FJ7SO</t>
  </si>
  <si>
    <t>WOS:000412959400013</t>
  </si>
  <si>
    <t>Are blue spaces viewed as ammenties, and are they equally distributed</t>
  </si>
  <si>
    <t>Yes, disctance to blue space and blue space access points</t>
  </si>
  <si>
    <t>Household survey questionnaire</t>
  </si>
  <si>
    <t>USA (Utah)</t>
  </si>
  <si>
    <t>de Heer, CP; Campbell, ML; Rockloff, S; Black, A</t>
  </si>
  <si>
    <t>de Heer, Chloe Paterson; Campbell, Marnie L.; Rockloff, Susan; Black, Ali</t>
  </si>
  <si>
    <t>Unforeseen consequences of extractivism: The influence of employment modes and place setting on environmental preferences and values in coastal Australia</t>
  </si>
  <si>
    <t>EXTRACTIVE INDUSTRIES AND SOCIETY-AN INTERNATIONAL JOURNAL</t>
  </si>
  <si>
    <t>Environmental values; FIFO; Industrial intrusion; Place attachment; Social licence to operate</t>
  </si>
  <si>
    <t>IN FLY-OUT; ECOLOGICAL PARADIGM; SOCIAL LICENSE; GREEN SPACE; BLUE SPACE; HEALTH; ATTITUDES; IMPACTS; DISTANCE; SCALE</t>
  </si>
  <si>
    <t>Many localities in regional Australia have experienced a rapid move from a rural based economy to an extractive one, due to a 'resources boom'. The central aim of this research was to begin to investigate how such rapid industrialisation might influence the relationship between local residents and their environment. A social survey was conducted to investigate if and how environmental values and perceptions are shaped by: a) employment mode (permanent resident or mobile workforce); and b) place setting (urban, rural, or industrial). Surveys occurred in urban, rural and industrial towns in coastal Queensland and South Australia, and tested for landscape preferences and environmental values. Respondents showed a preference for 'naturalistic' coastal landscapes, however respondents that live or work in industrial settings have a greater tolerance for industrial intrusion into the landscape. Industrial workers and residents were less likely to endorse the values of the New Ecological Paradigm. Contrary to public perception, Fly-In Fly-Out workers were more likely than other workers to value the marine environment for its intrinsic worth. Our findings illustrate the complexity of the relationship between industrialisation, employment, and environmental values, and suggest that an industrial place setting, or mode of employment, can erode one's sense of connection to the natural environment.</t>
  </si>
  <si>
    <t>[de Heer, Chloe Paterson; Campbell, Marnie L.] Cent Queensland Univ, Sch Med &amp; Appl Sci, Bryan Jordan Dr, Gladstone, Qld 4680, Australia; [Campbell, Marnie L.] Univ Waikato, Fac Sci &amp; Engn, Environm Res Inst, Private Bag 3105, Hamilton 3240, New Zealand; [Rockloff, Susan] Cent Queensland Univ, Sch Human Hlth &amp; Social Sci, Univ Dr, Bundaberg, Qld 4670, Australia; [Black, Ali] Univ Sunshine Coast, Fac Sci Hlth Educ &amp; Engn, Sunshine Coast, Qld 4560, Australia</t>
  </si>
  <si>
    <t>Central Queensland University; University of Waikato; Central Queensland University; University of the Sunshine Coast</t>
  </si>
  <si>
    <t>de Heer, CP (corresponding author), Cent Queensland Univ, Sch Med &amp; Appl Sci, Bryan Jordan Dr, Gladstone, Qld 4680, Australia.</t>
  </si>
  <si>
    <t>chloe.pdh@gmail.com</t>
  </si>
  <si>
    <t>Campbell, Mariel/HTR-9392-2023; Black, Alison (Ali)/E-1553-2015</t>
  </si>
  <si>
    <t>Campbell, Marnie/0000-0002-8716-0036; Black, Alison (Ali)/0000-0002-0515-6456</t>
  </si>
  <si>
    <t>Central Queensland University Human Research Ethics Committee (Queensland) [H12/08-164]; CQUniversity; Queensland Gas Company (QGC), through Conservation Volunteers Australia</t>
  </si>
  <si>
    <t>Central Queensland University Human Research Ethics Committee (Queensland); CQUniversity; Queensland Gas Company (QGC), through Conservation Volunteers Australia</t>
  </si>
  <si>
    <t>We would like to thank and acknowledge the participants in the questionnaire surveys. Prior to any survey work being conducted ethics approval was obtained from Central Queensland University Human Research Ethics Committee (Queensland) (project H12/08-164). This work was partially funded by grants to CPdH from the CQUniversity Vice Chancellor's Excellence in Research Award and industry funding from the Queensland Gas Company (QGC), through Conservation Volunteers Australia. The funding agencies had no such involvement in study design, collection, analysis and interpretation of data, writing our manuscript or the decision to submit this article for publication. We thank Daniel Harkin for developing the photographic images used for this study. We thank Ross Martin for creating Fig. 1.</t>
  </si>
  <si>
    <t>2214-790X</t>
  </si>
  <si>
    <t>2214-7918</t>
  </si>
  <si>
    <t>EXTRACT IND SOC</t>
  </si>
  <si>
    <t>Extr. Ind. Soc.</t>
  </si>
  <si>
    <t>10.1016/j.exis.2017.09.004</t>
  </si>
  <si>
    <t>FP2BV</t>
  </si>
  <si>
    <t>WOS:000417421300024</t>
  </si>
  <si>
    <t>How extractive relationship with the landscape impact views of the environment</t>
  </si>
  <si>
    <t>?</t>
  </si>
  <si>
    <t>no access</t>
  </si>
  <si>
    <t>de Bell, S; Graham, H; Jarvis, S; White, P</t>
  </si>
  <si>
    <t>de Bell, Sian; Graham, Hilary; Jarvis, Stuart; White, Piran</t>
  </si>
  <si>
    <t>The importance of nature in mediating social and psychological benefits associated with visits to freshwater blue space</t>
  </si>
  <si>
    <t>URBAN GREEN SPACE; PHYSICAL-ACTIVITY; MENTAL-HEALTH; COASTAL PROXIMITY; RESIDENTIAL GREEN; ENVIRONMENTS; BIODIVERSITY; EXPOSURE; RESTORATION; LANDSCAPES</t>
  </si>
  <si>
    <t>There is increasing appreciation of the benefits associated with exposure to natural environments. However, most of the evidence relates to green space with much less on blue space. Drawing on data from a British survey of adults, we describe the characteristics of visits to blue space and investigate whether the benefits reported in studies of green space physical activity, social interaction, and psychological benefits are evident with respect to blue space. We also examine the importance of nature to people's visits to blue space and investigate the sociodemographic predictors of visit frequency and location, the benefits received, and the importance of nature to.the visit. Social interaction and psychological benefits were the most important benefits obtained from visiting blue space. Socioeconomic status was a predictor of both frequency and location of visits and was also associated with identifying social interaction as the most important benefit. Respondents who reported psychological benefits as the most important benefit were more likely to find nature very important to their visit. The importance of nature in underpinning these benefits was relatively greater for older people compared with younger people. These findings highlight the social and psychological benefits obtained from visits to blue space, and provide new evidence on the importance of the natural environment in underpinning these benefits and enriching people's lives.</t>
  </si>
  <si>
    <t>[de Bell, Sian; White, Piran] Univ York, Environm Dept, Wentworth Way, York YO10 5NG, N Yorkshire, England; [Graham, Hilary; Jarvis, Stuart] Univ York, Dept Hlth Sci, York YO10 5DD, N Yorkshire, England</t>
  </si>
  <si>
    <t>de Bell, S (corresponding author), Univ York, Environm Dept, Wentworth Way, York YO10 5NG, N Yorkshire, England.</t>
  </si>
  <si>
    <t>sian.debell@york.ac.uk; hilary.graham@york.ac.uk; stuart.jarvis@york.ac.uk; piran.white@york.ac.uk</t>
  </si>
  <si>
    <t>de Bell, Sian/AAA-2894-2021; White, Piran Crawfurd Limond/AAH-6851-2021</t>
  </si>
  <si>
    <t>de Bell, Sian/0000-0001-7356-3849; White, Piran Crawfurd Limond/0000-0002-7496-5775; Graham, Hilary/0000-0001-7949-6819; Jarvis, Stuart/0000-0001-8447-0306</t>
  </si>
  <si>
    <t>Economic and Social Research Council [ES/L003015/1]; University of York (UK); ESRC [ES/L003015/1] Funding Source: UKRI; Economic and Social Research Council [ES/L003015/1] Funding Source: researchfish</t>
  </si>
  <si>
    <t>Economic and Social Research Council(UK Research &amp; Innovation (UKRI)Economic &amp; Social Research Council (ESRC)); University of York (UK); ESRC(UK Research &amp; Innovation (UKRI)Economic &amp; Social Research Council (ESRC)); Economic and Social Research Council(UK Research &amp; Innovation (UKRI)Economic &amp; Social Research Council (ESRC))</t>
  </si>
  <si>
    <t>This work is part of the Health of Populations and Ecosystems (HOPE) project funded by the Economic and Social Research Council, [Grant Number ES/L003015/1]; we would also like to acknowledge the support provided by the University of York (UK) for the HOPE doctoral studentship on ecological interventions for health outcomes and the three anonymous reviewers who provided helpful comments on an earlier version of the manuscript.</t>
  </si>
  <si>
    <t>ELSEVIER SCIENCE BV</t>
  </si>
  <si>
    <t>PO BOX 211, 1000 AE AMSTERDAM, NETHERLANDS</t>
  </si>
  <si>
    <t>10.1016/j.landurbplan.2017.06.003</t>
  </si>
  <si>
    <t>WOS:000412959400011</t>
  </si>
  <si>
    <t>Do blue spaces play the same role as green spaces</t>
  </si>
  <si>
    <t>in person survey interview</t>
  </si>
  <si>
    <t>Wustemann, H; Kalisch, D; Kolbe, J</t>
  </si>
  <si>
    <t>Wuestemann, Henry; Kalisch, Dennis; Kolbe, Jens</t>
  </si>
  <si>
    <t>Accessibility of urban blue in German major cities</t>
  </si>
  <si>
    <t>Urban blue; Accessibility; Household and individual level; German Socio-Economic Panel (GSOEP); German Census Data (GCD); Environmental inequalities</t>
  </si>
  <si>
    <t>HUMAN HEALTH; SPACE; WATER; LANDSCAPES; PERCEPTIONS; INDICATORS; VALUES; GREEN</t>
  </si>
  <si>
    <t>Action 5 of the EU 2020 Biodiversity Strategy explicitly mentions that EU member states, with assistance of the Commission, will map and assess the state of ecosystems and ecosystem services in their national territory by 2014. Water represents an important landscape element and contributes to human health and well-being in urban areas. However, in Germany - like in many other European countries - detailed information on the accessibility of urban blue at the household and individual level is missing. This study investigates the accessibility of urban blue by merging geocoded household data from the German Socio-Economic Panel (GSOEP) and German census population data (GCD) with geocoded data on urban blue distribution from the European Urban Atlas (EUA) for German major cities with more than 100,000 inhabitants. Accessibility of urban blue is measured as the Euclidean distance between the household and the nearest water-site in meter and calculated as the coverage of waters in a 500 m buffer around the place of living in square meters. Results of the distance analysis show an average distance between the households and the nearest water site of 1,390 m, meaning that 20% of the German urban population lives within a maximum distance of 500 m between the place of residence and the nearest water site. The average blue space provision in German major cities adds up to 3.5 m(2) per capita. Moreover, our findings indicate that individuals with migration background and individuals with nationalities others than German live on average in closer distances to waters while individuals with no migration background, individuals with German nationality and childless households are surrounded by higher coverages of urban blue. The findings provide helpful information for policy and planning to ensure an adequate blue space provision in Germany. (C) 2017 Elsevier Ltd. All rights reserved.</t>
  </si>
  <si>
    <t>[Wuestemann, Henry; Kalisch, Dennis] Tech Univ Berlin, Inst Landscape Architecture &amp; Environm Planning, Landscape Econ, Str 17,Juni 145, D-10623 Berlin, Germany; [Kolbe, Jens] Tech Univ Berlin, Inst Econ &amp; Business Law, Econometr &amp; Business Stat, Str 17,Juni 135, D-10623 Berlin, Germany</t>
  </si>
  <si>
    <t>Technical University of Berlin; Technical University of Berlin</t>
  </si>
  <si>
    <t>Wustemann, H (corresponding author), Tech Univ Berlin, Inst Landscape Architecture &amp; Environm Planning, Landscape Econ, Str 17,Juni 145, D-10623 Berlin, Germany.</t>
  </si>
  <si>
    <t>henry.wuestemann@tu-berlin.de</t>
  </si>
  <si>
    <t>BITOUN, RACHEL Elisabeth/AAC-9538-2021</t>
  </si>
  <si>
    <t>BITOUN, RACHEL Elisabeth/0000-0002-3614-9910; Kolbe, Jens/0000-0003-0342-8128</t>
  </si>
  <si>
    <t>Federal Agency for Nature Conservation (BfN) [FKZ: 3512 82 1400]</t>
  </si>
  <si>
    <t>Federal Agency for Nature Conservation (BfN)</t>
  </si>
  <si>
    <t>Funding for this research is gratefully acknowledges by the Federal Agency for Nature Conservation (BfN) (FKZ: 3512 82 1400). The views and findings of this paper are those of the authors and do not reflect the official positions of the Federal Agency for Nature Conservation. We are grateful to Jan Gabel at the German Institute for Economic Research (DIW) Berlin for continuous support with the GSOEP.</t>
  </si>
  <si>
    <t>10.1016/j.ecolind.2017.02.035</t>
  </si>
  <si>
    <t>FB9BZ</t>
  </si>
  <si>
    <t>WOS:000406435900014</t>
  </si>
  <si>
    <t>Geocoded data from houselholds and nearest water bodies to look at accessibility</t>
  </si>
  <si>
    <t>Chen, WY; Li, X</t>
  </si>
  <si>
    <t>Chen, Wendy Y.; Li, Xun</t>
  </si>
  <si>
    <t>Cumulative impacts of polluted urban streams on property values: A 3-D spatial hedonic model at the micro-neighborhood level</t>
  </si>
  <si>
    <t>Urban stream pollution; Spatial hedonic model; 3-D spatial effect; Cumulative impact; Cube contiguity</t>
  </si>
  <si>
    <t>PEARL RIVER DELTA; WATER-QUALITY; HOUSING-MARKET; AMENITY VALUE; ENVIRONMENTAL EXTERNALITIES; HEAVY-METALS; HUMAN HEALTH; AIR-QUALITY; BLUE SPACE; LAND-USE</t>
  </si>
  <si>
    <t>Urban streams could concurrently bring about both positive amenities accruing to the view of waterscape and negative disamenities associated with water pollution. In this paper, we focus on a specific question that has not yet been explicitly answered in the extant literature: how-to estimate the cumulative impacts of urban streams (which refer to the combined impacts of amenities and disamenities of multiple sources) in high density and high-rise urban contexts. A typical residential apartment complex (comprised of a number of apartment units located in dozens of mid- to high-rise commercial apartment buildings on a contiguous land parcel) in Guangzhou, south China, is used as a case study. A detailed palette of natural amenities and environmental disamenities of two bifurcated streams are quantified via the generalized spatial two-stage least squares (GS2SLS) model. In this model, an originally constructed 3-D spatial connectivity matrix, cube contiguity, is applied to address, in a sophisticated manner, an array of endogenous, exogenous, and error interactions along both horizontal and vertical dimensions that inherently exist in the spatial context of high-rise housing markets. Our results from spatial hedonic models at the micro-neighborhood level demonstrate that homebuyers tend to evaluate urban streams' chemical, physical, and ecological features holistically. A cumulative impact is also found, as homebuyers would like to pay an extra premium for an apartment located farther away from both polluted streams. This study advances the extant literature by contributing to a novel and effective extension of the conventional two-dimensional spatial matrix which can capture the long-ignored spatial correlation existing amongst apartment units located on contiguous floors, as well as a robust estimation of the demand of urban natural and environmental amenities in the gradually rising mid- and high-rise housing market in both developing and developed countries.</t>
  </si>
  <si>
    <t>[Chen, Wendy Y.; Li, Xun] Univ Hong Kong, Dept Geog, Pokfulam Rd, Hong Kong, Hong Kong, Peoples R China</t>
  </si>
  <si>
    <t>University of Hong Kong</t>
  </si>
  <si>
    <t>Chen, WY (corresponding author), Univ Hong Kong, Dept Geog, Pokfulam Rd, Hong Kong, Hong Kong, Peoples R China.</t>
  </si>
  <si>
    <t>wychen@hku.hk</t>
  </si>
  <si>
    <t>Chen, Wendy Yan/D-4884-2009</t>
  </si>
  <si>
    <t>Chen, Wendy Yan/0000-0001-8235-6446; Li, Xun/0000-0003-3361-8184</t>
  </si>
  <si>
    <t>Research Grants Council of the Hong Kong Special Administrative Region [HKU840911H, HKU759413H]</t>
  </si>
  <si>
    <t>Research Grants Council of the Hong Kong Special Administrative Region(Hong Kong Research Grants Council)</t>
  </si>
  <si>
    <t>The authors are very grateful for the General Research Fund from the Research Grants Council of the Hong Kong Special Administrative Region (HKU840911H and HKU759413H). The authors wish to thank the anonymous reviewers for their helpful comments.</t>
  </si>
  <si>
    <t>10.1016/j.landurbplan.2017.01.012</t>
  </si>
  <si>
    <t>ES6AH</t>
  </si>
  <si>
    <t>WOS:000399627800001</t>
  </si>
  <si>
    <t>Are urban streams viewed holistically in terms of ecological, pollution and amenities, and does this effect the housing market</t>
  </si>
  <si>
    <t>China (Guangzhou)</t>
  </si>
  <si>
    <t>Laatikainen, TE; Piiroinen, R; Lehtinen, E; Kytta, M</t>
  </si>
  <si>
    <t>Laatikainen, Tiina E.; Piiroinen, Rami; Lehtinen, Eeropekka; Kytta, Marketta</t>
  </si>
  <si>
    <t>PPGIS approach for defining multimodal travel thresholds: Accessibility of popular recreation environments by the water</t>
  </si>
  <si>
    <t>Public participation GIS; Travel threshold; Service area; Equal access; Blue space; Urban planning</t>
  </si>
  <si>
    <t>PUBLIC-PARTICIPATION GIS; EMPIRICAL-EVALUATION; ECOSYSTEM SERVICES; PHYSICAL-ACTIVITY; LAND-USE; ACCESS; SPACE; DISTANCE; EQUITY; GREEN</t>
  </si>
  <si>
    <t>It is essential to ensure equal accessibility to services, such as sport and recreation facilities or green and water environments. Differences in accessibility can potentially cause negative health and social welfare implications. Accessibility and service area analyses from the perspective of access equality are typically rather simple. They are often based on arbitrary travel-distance thresholds and made only with a single mode of transport in mind. Thus, they exclude the multidimensional nature of accessibility where individuals' travel behavior and perceived accessibility also play an important role. In this paper, a PPGIS method was used to empirically investigate distances and durations that respondents travel with different modes of transport to access popular water environments. Service area analyses were built on person-based and objectively measured threshold values that not only take into account the spatio-temporal elements of transport networks and a land use component but also recognize the requirements and preferences of individuals and their capacity to access and participate. The results showed that the most common mode of transport to access waters is walking. Generally, the residents travel by foot for 1.7 km to access water environments. Cars were found as the second most common mode of transport used, and most of the popular water environments are accessible by car from every corner of the study area in a given travel threshold time. The results demonstrate the importance of deriving local parameters and the potential of the PPGIS approach for accessibility and service area delineation. (C) 2016 Elsevier Ltd. All rights reserved.</t>
  </si>
  <si>
    <t>[Laatikainen, Tiina E.; Kytta, Marketta] Aalto Univ, Dept Built Environm, Espoo, Finland; [Piiroinen, Rami; Lehtinen, Eeropekka] Univ Helsinki, Dept Geosci &amp; Geog, Helsinki, Finland</t>
  </si>
  <si>
    <t>Aalto University; University of Helsinki</t>
  </si>
  <si>
    <t>Laatikainen, TE (corresponding author), Aalto Univ, Dept Built Environm, Espoo, Finland.</t>
  </si>
  <si>
    <t>tiina.laatikainen@aalto.fi; rami.piiroinen@helsinki.fi; eeropekka.lehtinen@helsinki.fi; marketta.kytta@aalto.fi</t>
  </si>
  <si>
    <t>Kytta, Marketta/0000-0001-9969-8194; Rinne, Tiina/0000-0001-8680-2263</t>
  </si>
  <si>
    <t>Finnish Academy [263403]; Innovatiivinen Kaupunki(R) program; Academy of Finland (AKA) [263403, 263403] Funding Source: Academy of Finland (AKA)</t>
  </si>
  <si>
    <t>Finnish Academy(Research Council of Finland); Innovatiivinen Kaupunki(R) program; Academy of Finland (AKA)(Research Council of Finland)</t>
  </si>
  <si>
    <t>The research reported here is based on a research project called 'ENJUSTESS', financed by the Finnish Academy (263403). Innovatiivinen Kaupunki (R) program has also funded the research project. The authors are very grateful to all the financers of the project, the Sports Department and the Environment Center of the City of Helsinki and wish to thank the residents of HMA who participated in the study. Furthermore, we are grateful to the editor and the anonymous reviewers for their useful comments. We also wish to thank Tuuli Toivonen, Maria Salonen and Henrikki Tenkanen, the commentators of the KLAKSU collegial study circle and all the researchers involved in the ENJUSTESS project for their valuable feedback during the writing process.</t>
  </si>
  <si>
    <t>10.1016/j.apgeog.2016.12.006</t>
  </si>
  <si>
    <t>EM5LP</t>
  </si>
  <si>
    <t>WOS:000395353300008</t>
  </si>
  <si>
    <t>How do people travel to water and what dirves them, movingh on from general measurements and looking into subjective elemenets of accessing water</t>
  </si>
  <si>
    <t>PPGIS</t>
  </si>
  <si>
    <t>online survey</t>
  </si>
  <si>
    <t>Cooper, B; Crase, L; Maybery, D</t>
  </si>
  <si>
    <t>Cooper, Bethany; Crase, Lin; Maybery, Darryl</t>
  </si>
  <si>
    <t>Incorporating amenity and ecological values of urban water into planning frameworks: evidence from Melbourne, Australia</t>
  </si>
  <si>
    <t>AUSTRALASIAN JOURNAL OF ENVIRONMENTAL MANAGEMENT</t>
  </si>
  <si>
    <t>Urban waterways; ecological values; amenity values; non-market valuation</t>
  </si>
  <si>
    <t>ECOSYSTEM SERVICES; BLUE SPACE; PREFERENCE; RECOVERY; HEALTH</t>
  </si>
  <si>
    <t>Australia is one of the most urbanised nations on Earth with 89 per cent of the population currently classified as living in urban areas (United Nations 2014, World urbanisation prospects, 2014 revision, United Nations, New York). This concentration of human populations in metropolitan centres puts added pressure on natural landscapes that remain within city boundaries, like urban waterways. Successful management of these 'natural' assets requires an understanding of their wider contribution to human well-being, including the psychological gains from access to nature. Whilst the benefits of 'blue space' in urban environments have recently attracted attention in Europe (e.g. Volker, S &amp; Kistemann, T 2011, 'The impact of blue space on human health and well-being - Salutogenetic health effects of inland surface waters: a review', International Journal of Hygiene and Environmental Health, vol. 214, no. 6, pp. 449-460), there is relatively little formal literature dealing with the benefits of urban waterways in Australia. In addition, many of the conceptual frameworks for contemplating these benefits do not easily lend themselves to formulating practical advice for waterway managers, with many important values aggregated. This article sets out a systematic way to conceptualise and measure the contribution of urban waterways to human well-being. Whilst simplified in some ways, the proposed method offers managers a practical tool for encapsulating benefits into economic measurement techniques. The framework has the advantage of providing a vehicle for ensuring important values are not overlooked as part of the planning process.</t>
  </si>
  <si>
    <t>[Cooper, Bethany; Crase, Lin] Univ South Australia, Sch Commerce, Adelaide, SA, Australia; [Maybery, Darryl] Monash Univ, Dept Rural Hlth, Moe, Vic, Australia</t>
  </si>
  <si>
    <t>University of South Australia; Monash University</t>
  </si>
  <si>
    <t>Crase, L (corresponding author), Univ South Australia, Sch Commerce, Adelaide, SA, Australia.</t>
  </si>
  <si>
    <t>lin.crase@unisa.edu.au</t>
  </si>
  <si>
    <t>Crase, Lin R/L-2072-2016; Cooper, Bethany L/E-5425-2016</t>
  </si>
  <si>
    <t>Crase, Lin R/0000-0002-3615-7152; Cooper, Bethany L/0000-0002-7484-1772</t>
  </si>
  <si>
    <t>Australian Research Council [LP150100672]; Melbourne Water; Australian Research Council [LP150100672] Funding Source: Australian Research Council</t>
  </si>
  <si>
    <t>Australian Research Council(Australian Research Council); Melbourne Water; Australian Research Council(Australian Research Council)</t>
  </si>
  <si>
    <t>This work was supported by the Australian Research Council [grant number LP150100672] and Melbourne Water.</t>
  </si>
  <si>
    <t>TAYLOR &amp; FRANCIS LTD</t>
  </si>
  <si>
    <t>2-4 PARK SQUARE, MILTON PARK, ABINGDON OR14 4RN, OXON, ENGLAND</t>
  </si>
  <si>
    <t>1448-6563</t>
  </si>
  <si>
    <t>2159-5356</t>
  </si>
  <si>
    <t>AUSTRALAS J ENV MAN</t>
  </si>
  <si>
    <t>Australas. J. Environ. Manag.</t>
  </si>
  <si>
    <t>10.1080/14486563.2016.1277559</t>
  </si>
  <si>
    <t>EO4NC</t>
  </si>
  <si>
    <t>WOS:000396670600006</t>
  </si>
  <si>
    <t>Review to look at the effects of freshwater in urban areas</t>
  </si>
  <si>
    <t>? No access</t>
  </si>
  <si>
    <t>Cracknell, D; White, MP; Pahl, S; Depledge, MH</t>
  </si>
  <si>
    <t>Cracknell, Deborah; White, Mathew P.; Pahl, Sabine; Depledge, Michael H.</t>
  </si>
  <si>
    <t>A preliminary investigation into the restorative potential of public aquaria exhibits: a UK student-based study</t>
  </si>
  <si>
    <t>LANDSCAPE RESEARCH</t>
  </si>
  <si>
    <t>Human biodiversity preferences; perceived restorativeness; sub-aquatic environments; aquarium; blue space</t>
  </si>
  <si>
    <t>PSYCHOLOGICAL BENEFITS; URBAN ENVIRONMENTS; SPECIES RICHNESS; HUMAN HEALTH; CORAL-REEFS; BLUE SPACE; PREFERENCES; EXPOSURE; STRESS; BIODIVERSITY</t>
  </si>
  <si>
    <t>Even managed' natural settings, such as botanical gardens and zoos, can provide restorative experiences. Well-being benefits may also be greater in land/waterscapes with greater biodiversity (eg, species richness). Using two photo studies with student participants, we explored aesthetic and behavioural preferences, affect and the restorative potential of multiple public aquaria exhibits, including variation in biodiversity. Study 1 (N=39) found that aquarium exhibits, in general, scored as highly as natural environments (eg, green space) on all dimensions. Study 2 (N=40) examined whether responses were influenced by exhibit characteristics including: climatic region (tropical/temperate), biological group (vertebrates/invertebrates), species richness (high/low) and abundance of individuals (high/low). Supporting predictions, tropical, vertebrate (fish) and high species richness exhibits were generally rated more positively than temperate/invertebrate/low species richness exhibits. However, some low richness/high abundance exhibits were also rated unexpectedly positively. Findings are discussed within the context of the growing well-being and biodiversity literature.</t>
  </si>
  <si>
    <t>[Cracknell, Deborah] Natl Marine Aquarium, Plymouth, Devon, England; [Cracknell, Deborah; Pahl, Sabine] Univ Plymouth, Sch Psychol, Fac Hlth &amp; Human Sci, Plymouth, Devon, England; [White, Mathew P.] Univ Exeter, European Ctr Environm &amp; Human Hlth, Truro, England; [White, Mathew P.] Royal Cornwall Hosp, Knowledge Spa, Truro, England; [Depledge, Michael H.] Univ Exeter, European Ctr Environm &amp; Human Hlth, Sch Med, Exeter, Devon, England</t>
  </si>
  <si>
    <t>University of Plymouth; University of Exeter; Royal Cornwall Hospital; University of Exeter</t>
  </si>
  <si>
    <t>Cracknell, D (corresponding author), Natl Marine Aquarium, Plymouth, Devon, England.;Cracknell, D (corresponding author), Univ Plymouth, Sch Psychol, Fac Hlth &amp; Human Sci, Plymouth, Devon, England.</t>
  </si>
  <si>
    <t>deborah.cracknell@national-aquarium.co.uk</t>
  </si>
  <si>
    <t>Pahl, Sabine/AAT-1829-2021; White, Mathew P/AAZ-4113-2021; Cracknell, Deborah/AAF-2759-2019</t>
  </si>
  <si>
    <t>Pahl, Sabine/0000-0002-3799-6716; White, Mathew Philip/0000-0002-4168-7289; Depledge, Michael/0000-0002-7216-0439</t>
  </si>
  <si>
    <t>National Aquarium Limited (NAL)</t>
  </si>
  <si>
    <t>This research was conducted as part of the first author's PhD, funded by National Aquarium Limited (NAL). The authors confirm that NAL played no part in the study design, data collection or analysis.</t>
  </si>
  <si>
    <t>0142-6397</t>
  </si>
  <si>
    <t>1469-9710</t>
  </si>
  <si>
    <t>LANDSCAPE RES</t>
  </si>
  <si>
    <t>Landsc. Res.</t>
  </si>
  <si>
    <t>10.1080/01426397.2016.1243236</t>
  </si>
  <si>
    <t>EG2MK</t>
  </si>
  <si>
    <t>WOS:000390877600003</t>
  </si>
  <si>
    <t>How imaages of public aquaria act as restorative environments</t>
  </si>
  <si>
    <t>in person surveys</t>
  </si>
  <si>
    <t>cross section</t>
  </si>
  <si>
    <t>Izenstark, D; Ebata, AT</t>
  </si>
  <si>
    <t>Izenstark, Dina; Ebata, Aaron T.</t>
  </si>
  <si>
    <t>Theorizing Family-Based Nature Activities and Family Functioning: The Integration of Attention Restoration Theory With a Family Routines and Rituals Perspective</t>
  </si>
  <si>
    <t>JOURNAL OF FAMILY THEORY &amp; REVIEW</t>
  </si>
  <si>
    <t>Attention restoration theory; family-based nature activities; family functioning; routines and rituals</t>
  </si>
  <si>
    <t>LEISURE-ACTIVITY PATTERNS; MARITAL SATISFACTION; INNER-CITY; BLUE SPACE; ENVIRONMENT; BENEFITS; HEALTH; TRANSMISSION; PREFERENCE; CONTEXT</t>
  </si>
  <si>
    <t>Time spent in nature has been recognized as beneficial for individuals, but the benefits of nature engagement for families remain significantly underresearched and lack theoretical underpinnings. We draw from the family studies, family leisure, and environmental psychology literature to suggest a new theoretical approach-integrating attention restoration theory and a routines and rituals perspective to study family-based nature activities. Attention restoration theory shows how certain types of behavioral settings have different effects on restored attention, which may influence interactions between family members, and a family routines and rituals perspective predicts greater developmental benefits from certain types of ritualized activities over onetime experiences. We argue that participation in family-based nature activities can serve as a pathway for positive family functioning more so than other types of leisure contexts.</t>
  </si>
  <si>
    <t>[Izenstark, Dina; Ebata, Aaron T.] Univ Illinois, Dept Human Dev &amp; Family Studies, 904 W Nevada St, Urbana, IL 61801 USA</t>
  </si>
  <si>
    <t>University of Illinois System; University of Illinois Urbana-Champaign</t>
  </si>
  <si>
    <t>Izenstark, D (corresponding author), Univ Illinois, Dept Human Dev &amp; Family Studies, 904 W Nevada St, Urbana, IL 61801 USA.</t>
  </si>
  <si>
    <t>izenstar@illinois.edu; ebata@illinois.edu</t>
  </si>
  <si>
    <t>Izenstark, Dina/0000-0003-0821-2035</t>
  </si>
  <si>
    <t>1756-2570</t>
  </si>
  <si>
    <t>1756-2589</t>
  </si>
  <si>
    <t>J FAM THEOR REV</t>
  </si>
  <si>
    <t>J. Fam. Theory. Rev.</t>
  </si>
  <si>
    <t>10.1111/jftr.12138</t>
  </si>
  <si>
    <t>Family Studies</t>
  </si>
  <si>
    <t>ED6EO</t>
  </si>
  <si>
    <t>WOS:000388948700001</t>
  </si>
  <si>
    <t>How family orientated activities influence ART</t>
  </si>
  <si>
    <t>? No accees</t>
  </si>
  <si>
    <t>Nutsford, D; Pearson, AL; Kingham, S; Reitsma, F</t>
  </si>
  <si>
    <t>Nutsford, Daniel; Pearson, Amber L.; Kingham, Simon; Reitsma, Femke</t>
  </si>
  <si>
    <t>Residential exposure to visible blue space (but not green space) associated with lower psychological distress in a capital city</t>
  </si>
  <si>
    <t>Mental health; Visibility analysis; Blue space; Green space; Urban planning</t>
  </si>
  <si>
    <t>MENTAL-HEALTH; TOOTH LOSS; URBAN; LANDSCAPES; CHILDREN; REGIONS</t>
  </si>
  <si>
    <t>As urbanisation escalates globally, urban neighbourhood features which may improve physical and mental health are of growing importance. Using a cross-sectional survey of adults and the application of novel geospatial techniques, this study investigated whether increased visibility of nature (green and blue space) was associated with lower psychological distress (K10 scores), in the capital city of Wellington, New Zealand. To validate, we also tested whether visibility of blue space was associated missing teeth in the same sample. Cluster robust, linear regression models were fitted to test the association between visibility of nature and K10 scores, adjusted for age, sex, personal income, neighbourhood population density, housing quality, crime and deprivation. Higher levels of blue space visibility were associated with lower psychological distress (beta= -0.28, p &lt; 0.001). Importantly, blue space visibility was not significantly associated with tooth loss. Further research is needed to confirm whether increased visibility of blue space could promote mental well-being and reduce distress in other cities. (C) 2016 Elsevier Ltd. All rights reserved.</t>
  </si>
  <si>
    <t>[Nutsford, Daniel; Kingham, Simon; Reitsma, Femke] Univ Canterbury, Dept Geog, Christchurch 1, New Zealand; [Pearson, Amber L.] Michigan State Univ, Dept Geog, 673 Auditorium Rd, E Lansing, MI 48824 USA; [Pearson, Amber L.] Univ Otago, Dept Publ Hlth, 23A Mein St, Wellington 6242, New Zealand</t>
  </si>
  <si>
    <t>University of Canterbury; Michigan State University; University of Otago</t>
  </si>
  <si>
    <t>Pearson, AL (corresponding author), Michigan State Univ, Dept Geog, 673 Auditorium Rd, E Lansing, MI 48824 USA.</t>
  </si>
  <si>
    <t>apearson@msu.edu</t>
  </si>
  <si>
    <t>Kingham, Simon/0000-0002-2869-3756</t>
  </si>
  <si>
    <t>We thank the Ministry for the Environment, Land Information New Zealand and the Department of Conservation for access to their land use datasets. This research was carried out as part of the Geohealth Laboratory work programme at the University of Canterbury, funded by the New Zealand Ministry of Health.</t>
  </si>
  <si>
    <t>10.1016/j.healthplace.2016.03.002</t>
  </si>
  <si>
    <t>DM7DQ</t>
  </si>
  <si>
    <t>WOS:000376515600009</t>
  </si>
  <si>
    <t>How green/blue views from residences correlate with K10 (pyschological distreess scores)</t>
  </si>
  <si>
    <t>Combining national health date with. GIS of green and blue space</t>
  </si>
  <si>
    <t>Calogiuri, G</t>
  </si>
  <si>
    <t>Calogiuri, Giovanna</t>
  </si>
  <si>
    <t>Natural Environments and Childhood Experiences Promoting Physical Activity, Examining the Mediational Effects of Feelings about Nature and Social Networks</t>
  </si>
  <si>
    <t>blue space; exercise; green space; health behaviour change programs; restorative environment; urban green space quality</t>
  </si>
  <si>
    <t>GREEN SPACE; WALKING; HEALTH; BEHAVIOR; LEISURE; OLDER; CONNECTEDNESS; EXERCISE; DISTANCE; FEATURES</t>
  </si>
  <si>
    <t>The importance of natural environments (NEs) for physical activity (PA) has been studied extensively. However, there is scant evidence to explain the motivational processes underlying the NE-PA relation. The aim of this study was to investigate the NE-PA relation using an ecological framework, focusing on perception of NEs, childhood experiences and possible intra- and inter-individual mediators. Data were retrieved from a cross-sectional survey among 2168 adults from all over Norway. In addition, the coverage of NEs by municipalities was retrieved from national registers. Logistic regression showed that, unlike the self-reported proximity to NEs, higher ratings of perceived supportiveness of NEs for PA predicted participation in NE-based PA for at least 60 min/week or 150 min/week, before and after controlling for socio-demographic characteristics. Reporting frequent experiences in nature during childhood was also an important predictor of higher levels of NE-based PA. Furthermore, a mediational analysis showed that the effect of both predictors was mediated by feelings about nature and social networks. These findings indicate that to encourage the use of local NE for PA, not only should environmental perceptions be taken into account, positive feelings towards nature alongside opportunities to share activity in nature with others should also be promoted.</t>
  </si>
  <si>
    <t>[Calogiuri, Giovanna] Hedmark Univ Coll, Fac Publ Hlth, Dept Dent Care &amp; Publ Hlth, Hamarveien 112, N-2411 Elverum, Norway</t>
  </si>
  <si>
    <t>Inland Norway University of Applied Sciences</t>
  </si>
  <si>
    <t>Calogiuri, G (corresponding author), Hedmark Univ Coll, Fac Publ Hlth, Dept Dent Care &amp; Publ Hlth, Hamarveien 112, N-2411 Elverum, Norway.</t>
  </si>
  <si>
    <t>giovanna.calogiuri@hihm.no</t>
  </si>
  <si>
    <t>Calogiuri, Giovanna/0000-0003-1289-1026</t>
  </si>
  <si>
    <t>10.3390/ijerph13040439</t>
  </si>
  <si>
    <t>DK9DR</t>
  </si>
  <si>
    <t>WOS:000375231300087</t>
  </si>
  <si>
    <t>What influences physical activity in natural environments</t>
  </si>
  <si>
    <t>Survey?</t>
  </si>
  <si>
    <t>Scopelliti, M; Carrus, G; Adinolfi, C; Suarez, G; Colangelo, G; Lafortezza, R; Panno, A; Sanesi, G</t>
  </si>
  <si>
    <t>Scopelliti, M.; Carrus, G.; Adinolfi, C.; Suarez, G.; Colangelo, G.; Lafortezza, R.; Panno, A.; Sanesi, G.</t>
  </si>
  <si>
    <t>Staying in touch with nature and well-being in different income groups: The experience of urban parks in Bogota</t>
  </si>
  <si>
    <t>RESIDENTIAL ENVIRONMENT QUALITY; PHYSICAL-ACTIVITY; NEIGHBORHOOD ATTACHMENT; PREGNANCY OUTCOMES; GREEN SPACE; BLUE SPACE; HEALTH; CONNECTEDNESS; RESTORATION; VALUES</t>
  </si>
  <si>
    <t>Studies on the positive effects of contact with nature have been mainly conducted in European countries, North America, and Australia, whereas the experience of nature for people living in other countries is still to be adequately investigated. Investigation of the beneficial effects of nature is particularly important in dense urban areas characterized by heavy environmental stress-related problems, like crowding and noise, and for people suffering from income-related well-being inequalities. To contribute to filling this gap, the present study investigated the effects of contact with urban parks on well-being among residents in Bogota, Colombia. A questionnaire was administered to an opportunistic sample of 398 respondents (300 of which were completed and used in the analyses) in parks located in three districts differing in socio-economic status. The residents of these districts were representative of the upper, middle, and lower income groups. The questions asked about the use of green areas and related psychological variables, such as human-nature interdependence, connectedness to nature, perceived restorative and affective qualities attributed to the park, emotions experienced, and overall well-being derived from the park experience. The results showed higher levels of well-being for people in the middle-income group and a relevant role of nature-related activities and psychological variables in explaining such beneficial outcomes. Differences in the mechanisms leading to well-being also emerged for the three income groups. Theoretical and practical implications of the study are discussed. (C) 2015 Elsevier B.V. All rights reserved.</t>
  </si>
  <si>
    <t>[Scopelliti, M.] LUMSA Univ, Dept Human Studies, Piazza Vaschette 101, I-00193 Rome, Italy; [Carrus, G.; Panno, A.] Univ Rome Tre, Dept Educ, I-00146 Rome, Italy; [Adinolfi, C.; Colangelo, G.; Lafortezza, R.; Sanesi, G.] Univ Bari, Dept Agr &amp; Environm Sci DISAAT, Bari, Italy; [Scopelliti, M.] Interuniv Res Ctr Environm Psychol CIRPA, Rome, Italy; [Suarez, G.] Univ Granada, Fac Pharm, Dept Bot, E-18071 Granada, Spain</t>
  </si>
  <si>
    <t>Universita LUMSA; Roma Tre University; Universita degli Studi di Bari Aldo Moro; University of Granada</t>
  </si>
  <si>
    <t>Scopelliti, M (corresponding author), LUMSA Univ, Dept Human Studies, Piazza Vaschette 101, I-00193 Rome, Italy.</t>
  </si>
  <si>
    <t>m.scopelliti@lumsa.it; giuseppe.carrus@uniroma3.it; cristiano.adinolfi@gmail.com; gina.suarez.ca@gmail.com; giu.colangelo@gmail.com; raffaele.lafortezza@uniba.it; angelopanno@yahoo.it; giovanni.sanesi@uniba.it</t>
  </si>
  <si>
    <t>Suárez, Gina Patricia/Z-1879-2019; Lafortezza, Raffaele/G-2104-2018; Panno, Angelo/H-9019-2019</t>
  </si>
  <si>
    <t>Suárez, Gina Patricia/0000-0002-2248-0936; Lafortezza, Raffaele/0000-0003-4642-8435; Panno, Angelo/0000-0002-6516-161X</t>
  </si>
  <si>
    <t>German Tovar Corzo, District Secretary of Environment, Municipality of Bogota, Colombia</t>
  </si>
  <si>
    <t>This work was supported by German Tovar Corzo, District Secretary of Environment, Municipality of Bogota, Colombia.</t>
  </si>
  <si>
    <t>10.1016/j.landurbplan.2015.11.002</t>
  </si>
  <si>
    <t>DH3JR</t>
  </si>
  <si>
    <t>WOS:000372683800014</t>
  </si>
  <si>
    <t xml:space="preserve">Effects that park visits have on well-being in Bogota, Columbia across different socio-economic groups. </t>
  </si>
  <si>
    <t>in person survey</t>
  </si>
  <si>
    <t>Columbia (Bogota)</t>
  </si>
  <si>
    <t>Hunter, MR; Askarinejad, A</t>
  </si>
  <si>
    <t>Hunter, MaryCarol R.; Askarinejad, Ali</t>
  </si>
  <si>
    <t>Designer's approach for scene selection in tests of preference and restoration along a continuum of natural to manmade environments</t>
  </si>
  <si>
    <t>preference; restoration; well-being; environmental structure; evidence-based design; restorative urban spaces; psychological ecosystem services; design aesthetics</t>
  </si>
  <si>
    <t>URBAN NATURE; BLUE SPACE; AESTHETICS; LANDSCAPE; HEALTH; PERCEPTION; BENEFITS; BEAUTY; IMAGINATION; COMPLEXITY</t>
  </si>
  <si>
    <t>It is well-established that the experience of nature produces an array of positive benefits to mental well-being. Much less is known about the specific attributes of green space which produce these effects. In the absence of translational research that links theory with application, it is challenging to design urban green space for its greatest restorative potential. This translational research provides a method for identifying which specific physical attributes of an environmental setting are most likely to influence preference and restoration responses. Attribute identification was based on a triangulation process invoking environmental psychology and aesthetics theories, principles of design founded in mathematics and aesthetics, and empirical research on the role of specific physical attributes of the environment in preference or restoration responses. From this integration emerged a list of physical attributes defining aspects of spatial structure and environmental content found to be most relevant to the perceptions involved with preference and restoration. The physical attribute list offers a starting point for deciphering which scene stimuli dominate or collaborate in preference and restoration responses. To support this, functional definitions and metrics efficient methods for attribute quantification are presented. Use of these research products and the process for defining place-based metrics can provide (a) greater control in the selection and interpretation of the scenes/images used in tests of preference and restoration and (b) an expanded evidence base for well-being designers of the built environment.</t>
  </si>
  <si>
    <t>[Hunter, MaryCarol R.] Univ Michigan, Sch Nat Resources &amp; Environm, Ann Arbor, MI 48109 USA; [Askarinejad, Ali] Univ Michigan, Taubman Coll Architecture &amp; Urban Planning, Ann Arbor, MI 48109 USA</t>
  </si>
  <si>
    <t>University of Michigan System; University of Michigan; University of Michigan System; University of Michigan</t>
  </si>
  <si>
    <t>Hunter, MR (corresponding author), Univ Michigan, Sch Nat Resources, RLA, 440 Church St, Ann Arbor, MI 48109 USA.</t>
  </si>
  <si>
    <t>mchunter@umich.edu</t>
  </si>
  <si>
    <t>University of Michigan's MCubed program; TKF Foundation; USDA-FS grant [2013-32100-06099]</t>
  </si>
  <si>
    <t>University of Michigan's MCubed program; TKF Foundation; USDA-FS grant</t>
  </si>
  <si>
    <t>We thank Alfred Li and Ciera Clayborne for research assistance and sense of humor. This work was supported by grants from the University of Michigan's MCubed program, the TKF Foundation, and USDA-FS grant (no. 2013-32100-06099).</t>
  </si>
  <si>
    <t>PO BOX 110, EPFL INNOVATION PARK, BUILDING I, LAUSANNE, 1015, SWITZERLAND</t>
  </si>
  <si>
    <t>AUG 19</t>
  </si>
  <si>
    <t>10.3389/fpsyg.2015.01228</t>
  </si>
  <si>
    <t>CP6KH</t>
  </si>
  <si>
    <t>WOS:000359995200001</t>
  </si>
  <si>
    <t xml:space="preserve">Physical attributes of green spaces which were perceived as therapeutic pr restorative. </t>
  </si>
  <si>
    <t>quantitative (no access)</t>
  </si>
  <si>
    <t>NO ACCESS</t>
  </si>
  <si>
    <t>Beyer, K; Bizub, J; Szabo, A; Heller, B; Kistner, A; Shawgo, E; Zetts, C</t>
  </si>
  <si>
    <t>Beyer, Kirsten; Bizub, Jessica; Szabo, Aniko; Heller, Beth; Kistner, Amy; Shawgo, Erin; Zetts, Corey</t>
  </si>
  <si>
    <t>Development and validation of the attitudes toward outdoor play scales for children</t>
  </si>
  <si>
    <t>SOCIAL SCIENCE &amp; MEDICINE</t>
  </si>
  <si>
    <t>United States; Nature; Children; Outdoor play; Attitudes; Measurement; Community engagement</t>
  </si>
  <si>
    <t>GREEN SPACE; NATURAL-ENVIRONMENT; PHYSICAL-ACTIVITY; PARENTS PERCEPTIONS; POSSIBLE MECHANISM; HUMAN HEALTH; BLUE SPACE; COMMUNITY; ATTENTION; SENSE</t>
  </si>
  <si>
    <t>The natural world has long been associated with health and described-as a therapeutic landscape, and a growing body of research demonstrates the benefits of interacting with nature for mental and physical health. However, concern is growing that children have lost connection to the natural world and spend less time outdoors, despite the known health benefits of doing so. It is likely that healthy behaviors related to engagement with nature are mediated by beliefs about the value and safety of play in nature. While the literature abounds with qualitative examinations of children's attitudes toward outdoor play, there exist few instruments to quantitatively measure these attitudes. Informed by health behavior change theories, we describe the development and validation of the Attitudes toward Outdoor Play (ATOP) scales. As part of a community-academic partnership project called More Than a Pretty Place, the development of the ATOP scales unfolded in stages: (1) item generation based on a comprehensive literature review and consensus among the project team, (2) interviews with environmental educators, (3) initial pilot testing, (4) scale refinement, (5) administration during 2012 and 2013 to a sample of school children ages 9-13 (n = 362) in Milwaukee, WI, USA, and (6) quantitative psychometric evaluation. Two distinct scales emerged: ATOP-benefits (alpha = 0.79) and ATOP-fears (alpha = 0.79). Validity analyses found that both scales correlated as expected with measures of engagement in outdoor play, parental support for outdoor play, and sedentary behaviors. The ATOP scales are reliable and valid instruments for measuring attitudes toward outdoor play that may mediate children's outdoor activity in natural settings. The ATOP scales could be useful for evaluating the effects of programming, such as environmental education programming, on improving children's attitudes toward the benefits of nature and reducing their fears, and may predict more distal outcomes including engagement in outdoor activity. (C) 2014 Elsevier Ltd. All rights reserved.</t>
  </si>
  <si>
    <t>[Beyer, Kirsten] Med Coll Wisconsin, Inst Hlth &amp; Soc, Milwaukee, WI 53226 USA; [Bizub, Jessica] Univ Wisconsin, Ctr Urban Initiat &amp; Res, Milwaukee, WI 53201 USA; [Szabo, Aniko; Kistner, Amy] Med Coll Wisconsin, Milwaukee, WI 53226 USA; [Heller, Beth; Shawgo, Erin] Urban Ecol Ctr, Milwaukee, WI USA; [Zetts, Corey] Menomonee Valley Partners, Milwaukee, WI USA</t>
  </si>
  <si>
    <t>Medical College of Wisconsin; University of Wisconsin System; University of Wisconsin Milwaukee; Medical College of Wisconsin</t>
  </si>
  <si>
    <t>Beyer, K (corresponding author), Med Coll Wisconsin, Inst Hlth &amp; Soc, 8701 Watertown Plank Rd, Milwaukee, WI 53226 USA.</t>
  </si>
  <si>
    <t>kbeyer@mcw.edu</t>
  </si>
  <si>
    <t>Beyer, Kirsten/HGT-9652-2022</t>
  </si>
  <si>
    <t>Bizub, Jessica/0000-0001-8238-2433; Beyer, Kirsten/0000-0002-7513-8528</t>
  </si>
  <si>
    <t>Healthier Wisconsin Partnership Program at the Medical College of Wisconsin [2011D-33]; National Center for Advancing Translational Sciences, National Institutes of Health [8UL1TR000055]</t>
  </si>
  <si>
    <t>Healthier Wisconsin Partnership Program at the Medical College of Wisconsin; National Center for Advancing Translational Sciences, National Institutes of Health(United States Department of Health &amp; Human ServicesNational Institutes of Health (NIH) - USANIH National Center for Advancing Translational Sciences (NCATS))</t>
  </si>
  <si>
    <t>This project was supported by the Healthier Wisconsin Partnership Program at the Medical College of Wisconsin (2011D-33) and in part by the National Center for Advancing Translational Sciences, National Institutes of Health, through Grant Number 8UL1TR000055. We thank the many students, teachers and others who made the development of this scale possible.</t>
  </si>
  <si>
    <t>0277-9536</t>
  </si>
  <si>
    <t>SOC SCI MED</t>
  </si>
  <si>
    <t>Soc. Sci. Med.</t>
  </si>
  <si>
    <t>10.1016/j.socscimed.2014.10.033</t>
  </si>
  <si>
    <t>Public, Environmental &amp; Occupational Health; Social Sciences, Biomedical</t>
  </si>
  <si>
    <t>Public, Environmental &amp; Occupational Health; Biomedical Social Sciences</t>
  </si>
  <si>
    <t>CI2LT</t>
  </si>
  <si>
    <t>WOS:000354579800034</t>
  </si>
  <si>
    <t>Attitudes towards outdoor play</t>
  </si>
  <si>
    <t>Scale generated to determine level of play</t>
  </si>
  <si>
    <t>USA (Milwaukee)</t>
  </si>
  <si>
    <t>Wheeler, BW; Lovell, R; Higgins, SL; White, MP; Alcock, I; Osborne, NJ; Husk, K; Sabel, CE; Depledge, MH</t>
  </si>
  <si>
    <t>Wheeler, Benedict W.; Lovell, Rebecca; Higgins, Sahran L.; White, Mathew P.; Alcock, Ian; Osborne, Nicholas J.; Husk, Kerryn; Sabel, Clive E.; Depledge, Michael H.</t>
  </si>
  <si>
    <t>Beyond greenspace: an ecological study of population general health and indicators of natural environment type and quality</t>
  </si>
  <si>
    <t>Greenspace; Blue space; Nature; General health; Census; UK; Salutogenesis</t>
  </si>
  <si>
    <t>PHYSICAL-ACTIVITY; ECOSYSTEM SERVICES; COASTAL PROXIMITY; MENTAL-HEALTH; SPACE; BIODIVERSITY; NEIGHBORHOOD; EXPOSURE; RESTORATION; LANDSCAPES</t>
  </si>
  <si>
    <t>Background: Many studies suggest that exposure to natural environments ('greenspace') enhances human health and wellbeing. Benefits potentially arise via several mechanisms including stress reduction, opportunity and motivation for physical activity, and reduced air pollution exposure. However, the evidence is mixed and sometimes inconclusive. One explanation may be that greenspace is typically treated as a homogenous environment type. However, recent research has revealed that different types and qualities of natural environments may influence health and wellbeing to different extents. Methods: This ecological study explores this issue further using data on land cover type, bird species richness, water quality and protected or designated status to create small-area environmental indicators across Great Britain. Associations between these indicators and age/sex standardised prevalence of both good and bad health from the 2011 Census were assessed using linear regression models. Models were adjusted for indicators of socio-economic deprivation and rurality, and also investigated effect modification by these contextual characteristics. Results: Positive associations were observed between good health prevalence and the density of the greenspace types, broadleaf woodland, arable and horticulture, improved grassland, saltwater and coastal, after adjusting for potential confounders. Inverse associations with bad health prevalence were observed for the same greenspace types, with the exception of saltwater. Land cover diversity and density of protected/designated areas were also associated with good and bad health in the predicted manner. Bird species richness (an indicator of local biodiversity) was only associated with good health prevalence. Surface water quality, an indicator of general local environmental condition, was associated with good and bad health prevalence contrary to the manner expected, with poorer water quality associated with better population health. Effect modification by income deprivation and urban/rural status was observed for several of the indicators. Conclusions: The findings indicate that the type, quality and context of 'greenspace' should be considered in the assessment of relationships between greenspace and human health and wellbeing. Opportunities exist to further integrate approaches from ecosystem services and public health perspectives to maximise opportunities to inform policies for health and environmental improvement and protection.</t>
  </si>
  <si>
    <t>[Wheeler, Benedict W.; Lovell, Rebecca; Higgins, Sahran L.; White, Mathew P.; Alcock, Ian; Osborne, Nicholas J.; Depledge, Michael H.] Univ Exeter, Sch Med, European Ctr Environm &amp; Human Hlth, Knowledge Spa,Royal Cornwall Hosp, Truro TR1 3HD, Cornwall, England; [Osborne, Nicholas J.] Univ Melbourne, Dept Paediat, Melbourne, Vic, Australia; [Husk, Kerryn] Univ Plymouth, Peninsula Sch Med, NIHR CLAHRC South West Peninsula PenCLAHRC, Plymouth PL6 8BX, Devon, England; [Husk, Kerryn] Univ Plymouth, Peninsula Sch Dent, NIHR CLAHRC South West Peninsula PenCLAHRC, Plymouth PL6 8BX, Devon, England; [Sabel, Clive E.] Univ Bristol, Sch Geog Sci, Bristol BS8 1SS, Avon, England</t>
  </si>
  <si>
    <t>Royal Cornwall Hospital; University of Exeter; University of Melbourne; University of Plymouth; University of Plymouth; University of Bristol</t>
  </si>
  <si>
    <t>Wheeler, BW (corresponding author), Univ Exeter, Sch Med, European Ctr Environm &amp; Human Hlth, Knowledge Spa,Royal Cornwall Hosp, Truro Campus, Truro TR1 3HD, Cornwall, England.</t>
  </si>
  <si>
    <t>B.W.Wheeler@exeter.ac.uk</t>
  </si>
  <si>
    <t>White, Mathew P/AAZ-4113-2021; Osborne, Nicholas/D-2086-2011; Wheeler, Benedict/G-1711-2012; Sabel, Clive E/A-5541-2012</t>
  </si>
  <si>
    <t>Osborne, Nicholas/0000-0002-6700-2284; Wheeler, Benedict/0000-0001-9404-5936; Lovell, Rebecca/0000-0002-6962-0350; Sabel, Clive/0000-0001-9180-4861; White, Mathew Philip/0000-0002-4168-7289; Husk, Kerryn/0000-0001-5674-8673; Depledge, Michael/0000-0002-7216-0439</t>
  </si>
  <si>
    <t>Economic and Social Research Council [ES/K002872/1]; European Regional Development Fund Programme; European Social Fund Convergence Programme for Cornwall; Isles of Scilly; ESRC [ES/K002872/1] Funding Source: UKRI; Economic and Social Research Council [ES/K002872/1] Funding Source: researchfish</t>
  </si>
  <si>
    <t>Economic and Social Research Council(UK Research &amp; Innovation (UKRI)Economic &amp; Social Research Council (ESRC)); European Regional Development Fund Programme; European Social Fund Convergence Programme for Cornwall; Isles of Scilly; ESRC(UK Research &amp; Innovation (UKRI)Economic &amp; Social Research Council (ESRC)); Economic and Social Research Council(UK Research &amp; Innovation (UKRI)Economic &amp; Social Research Council (ESRC))</t>
  </si>
  <si>
    <t>This work was supported by the Economic and Social Research Council [ES/K002872/1]. The European Centre for Environment and Human Health (part of the University of Exeter Medical School) is in part financed by the European Regional Development Fund Programme 2007 to 2013 and European Social Fund Convergence Programme for Cornwall and the Isles of Scilly. The funders did not influence the collection, analysis or interpretation of data, the writing of the manuscript or the decision to submit the manuscript for publication. BW thanks Dr Jan Rigby and Maynooth University for hosting a research visit during which work on the paper was carried out. We acknowledge the sources of the environmental data used for this work: Dr Simon Gillings at the British Trust for Ornithology, the Centre for Ecology and Hydrology, the Environment Agency for England and Wales, the Scottish Environmental Protection Agency, Natural England, Natural Resources Wales and Scottish Natural Heritage. Census data were sourced from the Office for National Statistics and are (c) Crown Copyright 2013. Due to the nature of some of the research materials (secondary data under licence) supporting this publication, not all of the data can be made accessible to other researchers. Please contact Dr Ben Wheeler (b.w.wheeler@exeter.ac.uk) for more information. The project benefited from the valuable guidance of an advisory board, detailed on the project blog (beyondgreenspace.wordpress.com). The work presented here remains the responsibility of the authors alone.</t>
  </si>
  <si>
    <t>APR 30</t>
  </si>
  <si>
    <t>10.1186/s12942-015-0009-5</t>
  </si>
  <si>
    <t>CI9LL</t>
  </si>
  <si>
    <t>WOS:000355091500001</t>
  </si>
  <si>
    <t>How environmental qualities of greenspace effect health and well-being - including biodiversity</t>
  </si>
  <si>
    <t>Yes LCM</t>
  </si>
  <si>
    <t>25m</t>
  </si>
  <si>
    <t>Logan, AC; Katzman, MA; Balanza-Martinez, V</t>
  </si>
  <si>
    <t>Logan, Alan C.; Katzman, Martin A.; Balanza-Martinez, Vicent</t>
  </si>
  <si>
    <t>Natural environments, ancestral diets, and microbial ecology: is there a modern paleo-deficit disorder? Part I</t>
  </si>
  <si>
    <t>JOURNAL OF PHYSIOLOGICAL ANTHROPOLOGY</t>
  </si>
  <si>
    <t>ATTENTION-DEFICIT/HYPERACTIVITY DISORDER; CROSS-SECTIONAL ANALYSIS; URBAN GREEN SPACE; QUALITY-OF-LIFE; MENTAL-HEALTH; PHYSICAL-ACTIVITY; RESIDENTIAL ENVIRONMENTS; NATURE CONNECTEDNESS; SEDENTARY BEHAVIOR; ALLERGIC DISEASES</t>
  </si>
  <si>
    <t>Famed microbiologist Rene J. Dubos (1901-1982) was an early pioneer in the developmental origins of health and disease (DOHaD) construct. In the 1960s, he conducted groundbreaking experimental research concerning the ways in which early-life experience with nutrition, microbiota, stress, and other environmental variables could influence later-life health outcomes. He also wrote extensively on potential health consequences of a progressive loss of contact with natural environments (now referred to as green or blue space), arguing that Paleolithic experiences have created needs, particularly in the mental realm, that might not be met in the context of rapid global urbanization. He posited that humans would certainly adapt to modern urban landscapes and high technology, but there might be a toll to be paid in the form of higher psychological distress (symptoms of anxiety and depression) and diminished quality of life. In particular, there might be an erosion of humanness, exemplified by declines in altruism/empathy. Here in the first of a two-part review, we examine contemporary research related to natural environments and question to what extent Dubos might have been correct in some of his 50-year-old assertions.</t>
  </si>
  <si>
    <t>[Logan, Alan C.] CAMNR, Calabasas, CA 91302 USA; [Katzman, Martin A.] START Clin Mood &amp; Anxiety Disorders, Toronto, ON M4W 2N4, Canada; [Balanza-Martinez, Vicent] Univ Valencia, Sch Med, Dept Med, Sect Psychiat &amp; Psychol Med, E-46010 Valencia, Spain</t>
  </si>
  <si>
    <t>University of Valencia</t>
  </si>
  <si>
    <t>Logan, AC (corresponding author), CAMNR, 23679 Calabasas Rd Suite 542, Calabasas, CA 91302 USA.</t>
  </si>
  <si>
    <t>aclnd@cfs-fm.org</t>
  </si>
  <si>
    <t>Balanzá-Martínez, Vicent/C-3073-2011</t>
  </si>
  <si>
    <t>Balanzá-Martínez, Vicent/0000-0001-7772-7396</t>
  </si>
  <si>
    <t>Genuine Health Inc (Toronto, ON, Canada)</t>
  </si>
  <si>
    <t>ACL has received consulting fees from Genuine Health Inc (Toronto, ON, Canada). He is co-author of the trade paperback Your Brain on Nature (Harper Collins, 2012). MAK and VBM declare that they have no competing interests.</t>
  </si>
  <si>
    <t>1880-6805</t>
  </si>
  <si>
    <t>J PHYSIOL ANTHROPOL</t>
  </si>
  <si>
    <t>J. Physiol. Anthropol.</t>
  </si>
  <si>
    <t>JAN 31</t>
  </si>
  <si>
    <t>10.1186/s40101-015-0041-y</t>
  </si>
  <si>
    <t>Physiology</t>
  </si>
  <si>
    <t>CB5DV</t>
  </si>
  <si>
    <t>WOS:000349648600001</t>
  </si>
  <si>
    <t>Linking recent research to work by the microbiologists R. J. Dubos and how his 50 years old assertions are tunring out to be correct</t>
  </si>
  <si>
    <t>na</t>
  </si>
  <si>
    <t>Demuzere, M; Orru, K; Heidrich, O; Olazabal, E; Geneletti, D; Orru, H; Bhave, AG; Mittal, N; Feliu, E; Faehnle, M</t>
  </si>
  <si>
    <t>Demuzere, M.; Orru, K.; Heidrich, O.; Olazabal, E.; Geneletti, D.; Orru, H.; Bhave, A. G.; Mittal, N.; Feliu, E.; Faehnle, M.</t>
  </si>
  <si>
    <t>Mitigating and adapting to climate change: Multi-functional and multi-scale assessment of green urban infrastructure</t>
  </si>
  <si>
    <t>JOURNAL OF ENVIRONMENTAL MANAGEMENT</t>
  </si>
  <si>
    <t>Green urban infrastructure; Climate change; Ecosystem services; Biophysical benefit; Social benefit; Spatial scale</t>
  </si>
  <si>
    <t>OFFSETTING CARBON EMISSIONS; ECOSYSTEM SERVICES; POLLUTANT REMOVAL; THERMAL COMFORT; HUMAN HEALTH; AIR-QUALITY; ROOF; IMPACTS; CITIES; AREAS</t>
  </si>
  <si>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 (C) 2014 Elsevier Ltd. All rights reserved.</t>
  </si>
  <si>
    <t>[Demuzere, M.] Katholieke Univ Leuven, Dept Earth &amp; Environm Sci, Leuven, Belgium; [Orru, K.] Estonian Univ Life Sci, Inst Agr &amp; Environm, Tartu, Estonia; [Orru, K.] Univ Tartu, Inst Social Sci, EE-51003 Tartu, Estonia; [Heidrich, O.] Newcastle Univ, Sch Civil Engn &amp; Geosci, Newcastle Upon Tyne NE1 7RU, Tyne &amp; Wear, England; [Olazabal, E.] Tecnalia, Div Energy &amp; Environm, Derio, Spain; [Geneletti, D.] Univ Trento, Dept Civil Environm &amp; Mech Engn, Trento, Italy; [Orru, H.] Univ Tartu, Dept Publ Hlth, EE-51003 Tartu, Estonia; [Orru, H.] Umea Univ, Dept Publ Hlth &amp; Clin Med, Umea, Sweden; [Bhave, A. G.; Mittal, N.] Indian Inst Technol, Kharagpur 721302, W Bengal, India; [Olazabal, E.; Faehnle, M.] Finnish Environm Inst SYKE, Helsinki, Finland; [Faehnle, M.] Univ Helsinki, Helsinki, Finland</t>
  </si>
  <si>
    <t>KU Leuven; Estonian University of Life Sciences; University of Tartu; Newcastle University - UK; University of Trento; University of Tartu; Umea University; Indian Institute of Technology System (IIT System); Indian Institute of Technology (IIT) - Kharagpur; Finnish Environment Institute; University of Helsinki</t>
  </si>
  <si>
    <t>Orru, K (corresponding author), Univ Tartu, Inst Social Sci, Lossi 36-401, EE-51003 Tartu, Estonia.</t>
  </si>
  <si>
    <t>kati.orru@ut.ee</t>
  </si>
  <si>
    <t>Orru, Kati/HQY-1108-2023; Geneletti, Davide/AAH-5407-2019; Geneletti, Davide/D-5266-2014; Olazabal, Eduardo/H-2718-2015; Demuzere, Matthias/AFE-8260-2022; Orru, Hans/B-1324-2019; Demuzere, Matthias/HOF-7046-2023</t>
  </si>
  <si>
    <t>Geneletti, Davide/0000-0002-5528-3365; Geneletti, Davide/0000-0002-5528-3365; Olazabal, Eduardo/0000-0002-5647-8260; Demuzere, Matthias/0000-0003-3237-4077; Demuzere, Matthias/0000-0003-3237-4077; Heidrich, Oliver/0000-0002-6581-5572; Feliu Torres, Efren/0000-0003-1205-4885; Mittal, Neha/0000-0002-7875-9952; Faehnle, Maija/0000-0002-4206-8543; Bhave, Ajay/0000-0001-5896-8661</t>
  </si>
  <si>
    <t>European Science Foundation [TU0902]; Flemish regional government; Helsinki University Centre for Environment HENVI; Finnish Environment Institute SYKE; Estonian Target Financed Project [SF0170006s08, SF0180060s09]</t>
  </si>
  <si>
    <t>European Science Foundation(European Science Foundation (ESF)); Flemish regional government; Helsinki University Centre for Environment HENVI; Finnish Environment Institute SYKE; Estonian Target Financed Project</t>
  </si>
  <si>
    <t>This research collaboration and this paper were made possible through a European Science Foundation funded COST Action network (TU0902) entitled: Integrated assessment technologies to support the sustainable development of urban areas M. Demuzere is funded by the Flemish regional government through a contract as a Fund for Scientific Research (FWO) post-doctoral position. M. Faehnle is funded by the Helsinki University Centre for Environment HENVI and the Finnish Environment Institute SYKE in the research program 'Enhancing Sustainable Urban Development through Ecosystem Services - ENSURE'. K. Orru is supported by Estonian Target Financed Project No SF0170006s08 and H. Orru by Project No SF0180060s09. We would also like to thank the reviewer(s) for the insightful and useful comments on an earlier version of this paper.</t>
  </si>
  <si>
    <t>0301-4797</t>
  </si>
  <si>
    <t>1095-8630</t>
  </si>
  <si>
    <t>J ENVIRON MANAGE</t>
  </si>
  <si>
    <t>J. Environ. Manage.</t>
  </si>
  <si>
    <t>DEC 15</t>
  </si>
  <si>
    <t>10.1016/j.jenvman.2014.07.025</t>
  </si>
  <si>
    <t>AR5HA</t>
  </si>
  <si>
    <t>WOS:000343614400013</t>
  </si>
  <si>
    <t>review of what green infrastucutre can offer from literature</t>
  </si>
  <si>
    <t>Medlock, JM; Vaux, AGC</t>
  </si>
  <si>
    <t>Medlock, Jolyon M.; Vaux, Alexander G. C.</t>
  </si>
  <si>
    <t>Colonization of a newly constructed urban wetland by mosquitoes in England: implications for nuisance and vector species</t>
  </si>
  <si>
    <t>JOURNAL OF VECTOR ECOLOGY</t>
  </si>
  <si>
    <t>Climate; arbovirus; Culex; control; ecology; wetlands</t>
  </si>
  <si>
    <t>WEST-NILE-VIRUS</t>
  </si>
  <si>
    <t>Urban wetlands are being created in the UK as part of sustainable urban drainage strategies, to create wetland habitats lost during development, to provide a habitat for protected species, and to increase the public's access to blue-space' for the improvement of health and well-being. Sewage treatment reedbeds are also being incorporated into newly constructed wetlands to offer an alternative approach to dealing with sewage. This field study aims to provide the first UK evidence of how such newly constructed aquatic habitats are colonized by mosquitoes. A number of new aquatic habitats were surveyed for immature mosquitoes every fortnight over the first two years following wetland construction. The majority of mosquitoes collected were Culex sp. and were significantly associated with the sewage treatment reedbed system, particularly following storm events and sewage inflow. Other more natural aquatic habitats that were subject to cycles of drying and re-wetting contributed the majority of the remaining mosquitoes colonizing. Colonization of permanent habitats was slow, particularly where fluctuations in water levels inhibited emergent vegetation growth. It is recommended that during the planning process for newly constructed wetlands consideration is given on a case-by-case basis to the impact of mosquitoes, either as a cause of nuisance or as potential vectors. Although ornithophagic Culex dominated in this wetland, their potential role as enzootic West Nile virus vectors should not be overlooked.</t>
  </si>
  <si>
    <t>[Medlock, Jolyon M.; Vaux, Alexander G. C.] Publ Hlth England, Emergency Response Dept, MRA, Med Entomol &amp; Zoonoses Ecol Grp, Salisbury, Wilts, England</t>
  </si>
  <si>
    <t>Public Health England</t>
  </si>
  <si>
    <t>Medlock, JM (corresponding author), Publ Hlth England, Emergency Response Dept, MRA, Med Entomol &amp; Zoonoses Ecol Grp, Salisbury, Wilts, England.</t>
  </si>
  <si>
    <t>jolyon.medlock@phe.gov.uk</t>
  </si>
  <si>
    <t>Vaux, Alexander/0000-0003-2463-5660</t>
  </si>
  <si>
    <t>SOC VECTOR ECOLOGY</t>
  </si>
  <si>
    <t>CORONA</t>
  </si>
  <si>
    <t>1966 COMPTON AVE, CORONA, CA 92881 USA</t>
  </si>
  <si>
    <t>1948-7134</t>
  </si>
  <si>
    <t>J VECTOR ECOL</t>
  </si>
  <si>
    <t>J. Vector Ecol.</t>
  </si>
  <si>
    <t>10.1111/jvec.12099</t>
  </si>
  <si>
    <t>Entomology</t>
  </si>
  <si>
    <t>AU4HU</t>
  </si>
  <si>
    <t>WOS:000345572200005</t>
  </si>
  <si>
    <t>How mosquitios is new wetlands could act as nuisance species and disease vectors</t>
  </si>
  <si>
    <t>mosqito as potential vectors</t>
  </si>
  <si>
    <t>cross</t>
  </si>
  <si>
    <t>Nieuwenhuijsen, MJ; Kruize, H; Gidlow, C; Andrusaityte, S; Anto, JM; Basagana, X; Cirach, M; Dadvand, P; Danileviciute, A; Donaire-Gonzalez, D; Garcia, J; Jerrett, M; Jones, M; Julvez, J; van Kempen, E; van Kamp, I; Maas, J; Seto, E; Smith, G; Triguero, M; Wendel-Vos, W; Wright, J; Zufferey, J; van den Hazel, PJ; Lawrence, R; Grazuleviciene, R</t>
  </si>
  <si>
    <t>Nieuwenhuijsen, Mark J.; Kruize, Hanneke; Gidlow, Christopher; Andrusaityte, Sandra; Maria Anto, Josep; Basagana, Xavier; Cirach, Marta; Dadvand, Payam; Danileviciute, Asta; Donaire-Gonzalez, David; Garcia, Judith; Jerrett, Michael; Jones, Marc; Julvez, Jordi; van Kempen, Elise; van Kamp, Irene; Maas, Jolanda; Seto, Edmund; Smith, Graham; Triguero, Margarita; Wendel-Vos, Wanda; Wright, John; Zufferey, Joris; van den Hazel, Peter Jan; Lawrence, Roderick; Grazuleviciene, Regina</t>
  </si>
  <si>
    <t>Positive health effects of the natural outdoor environment in typical populations in different regions in Europe (PHENOTYPE): a study programme protocol</t>
  </si>
  <si>
    <t>BMJ OPEN</t>
  </si>
  <si>
    <t>Green space; Blue space; Health; Well being; Physical activity</t>
  </si>
  <si>
    <t>URBAN GREEN SPACE; PHYSICAL-ACTIVITY; INNER-CITY; NOISE-REDUCTION; AIR-POLLUTION; NEIGHBORHOOD GREENNESS; SURROUNDING GREENNESS; PUBLIC PARKS; EXPOSURE; RESTORATION</t>
  </si>
  <si>
    <t>Introduction Growing evidence suggests that close contact with nature brings benefits to human health and well-being, but the proposed mechanisms are still not well understood and the associations with health remain uncertain. The Positive Health Effects of the Natural Outdoor environment in Typical Populations in different regions in Europe (PHENOTYPE) project investigates the interconnections between natural outdoor environments and better human health and well-being. Aims and methods The PHENOTYPE project explores the proposed underlying mechanisms at work (stress reduction/restorative function, physical activity, social interaction, exposure to environmental hazards) and examines the associations with health outcomes for different population groups. It implements conventional and new innovative high-tech methods to characterise the natural environment in terms of quality and quantity. Preventive as well as therapeutic effects of contact with the natural environment are being covered. PHENOTYPE further addresses implications for land-use planning and green space management. The main innovative part of the study is the evaluation of possible short-term and long-term associations of green space and health and the possible underlying mechanisms in four different countries (each with quite a different type of green space and a different use), using the same methodology, in one research programme. This type of holistic approach has not been undertaken before. Furthermore there are technological innovations such as the use of remote sensing and smartphones in the assessment of green space. Conclusions The project will produce a more robust evidence base on links between exposure to natural outdoor environment and human health and well-being, in addition to a better integration of human health needs into land-use planning and green space management in rural as well as urban areas.</t>
  </si>
  <si>
    <t>[Nieuwenhuijsen, Mark J.; Maria Anto, Josep; Basagana, Xavier; Cirach, Marta; Dadvand, Payam; Donaire-Gonzalez, David; Garcia, Judith; Julvez, Jordi; Triguero, Margarita] Ctr Res Environm Epidemiol CREAL, Barcelona, Spain; [Nieuwenhuijsen, Mark J.; Maria Anto, Josep; Basagana, Xavier; Cirach, Marta; Dadvand, Payam; Donaire-Gonzalez, David; Garcia, Judith; Julvez, Jordi; Triguero, Margarita] CIBER Epidemiol &amp; Salud Publ CIBERESP, Madrid, Spain; [Nieuwenhuijsen, Mark J.; Maria Anto, Josep; Basagana, Xavier; Cirach, Marta; Dadvand, Payam; Donaire-Gonzalez, David; Garcia, Judith; Julvez, Jordi; Triguero, Margarita] UPF, Barcelona, Spain; [Kruize, Hanneke; van Kempen, Elise; van Kamp, Irene; Wendel-Vos, Wanda] RIVM, Bilthoven, Netherlands; [Gidlow, Christopher; Jones, Marc; Smith, Graham] CSHER, Stoke On Trent, Staffs, England; [Andrusaityte, Sandra; Danileviciute, Asta; Grazuleviciene, Regina] Vytauto Didziojo Univ, Kaunas, Lithuania; [Maria Anto, Josep; Julvez, Jordi] IMIM Hosp del Mar Med Res Inst, Barcelona, Spain; [Jerrett, Michael; Seto, Edmund] Univ Calif Berkeley, Berkeley, CA 94720 USA; [Maas, Jolanda] Vrije Univ Amsterdam Med Ctr, Amsterdam, Netherlands; [Wright, John] Bradford Hosp Trust, Bradford, W Yorkshire, England; [Zufferey, Joris; Lawrence, Roderick] Univ Geneva, Geneva, Switzerland; [van den Hazel, Peter Jan] VGGM, Arnhem, Netherlands</t>
  </si>
  <si>
    <t>Pompeu Fabra University; CIBER - Centro de Investigacion Biomedica en Red; CIBERESP; Pompeu Fabra University; Netherlands National Institute for Public Health &amp; the Environment; Vytautas Magnus University; Institut Hospital del Mar d'Investigacions Mediques (IMIM); Hospital del Mar; University of California System; University of California Berkeley; Vrije Universiteit Amsterdam; VU UNIVERSITY MEDICAL CENTER; University of Geneva</t>
  </si>
  <si>
    <t>Nieuwenhuijsen, MJ (corresponding author), Ctr Res Environm Epidemiol CREAL, Barcelona, Spain.</t>
  </si>
  <si>
    <t>mnieuwenhuijsen@creal.cat</t>
  </si>
  <si>
    <t>J, Garcia-Aymerich/G-6867-2014; Triguero Mas, Margarita/AAA-9148-2020; Wright, John/H-1624-2012; Gonzalez, David/IPU-3884-2023; Jerrett, Michael/CAA-2482-2022; Anto, J M/H-2676-2014; Grazuleviciene, Regina/AAR-4539-2021; Julvez, Jordi/R-4531-2017; LAWRENCE, Roderick/ABB-1250-2020; Gidlow, Christopher James/C-5796-2018; Basagaña, Xavier/C-3901-2017; Nieuwenhuijsen, Mark J/C-3914-2017; Dadvand, Payam/O-8053-2018; Gonzalez, David Donaire/AAB-9651-2020; Triguero-Mas, Margarita/G-1131-2015</t>
  </si>
  <si>
    <t>J, Garcia-Aymerich/0000-0002-7097-4586; Triguero Mas, Margarita/0000-0002-1580-2693; Wright, John/0000-0001-9572-7293; Anto, J M/0000-0002-4736-8529; Grazuleviciene, Regina/0000-0002-0210-8053; Julvez, Jordi/0000-0003-0818-4003; LAWRENCE, Roderick/0000-0002-1432-7245; Gidlow, Christopher James/0000-0003-4990-4572; Basagaña, Xavier/0000-0002-8457-1489; Nieuwenhuijsen, Mark J/0000-0001-9461-7981; Dadvand, Payam/0000-0002-2325-1027; Gonzalez, David Donaire/0000-0003-2337-1712; Triguero-Mas, Margarita/0000-0002-1580-2693; Wendel-Vos, Wanda/0000-0002-0653-3620; Andrusaityte, Sandra/0000-0002-4309-0208; Danileviciute, Asta/0000-0001-8304-6570; Jones, Marc/0000-0003-2999-3942</t>
  </si>
  <si>
    <t>European Community [282996 (ENV.2011.1.2.3-2)]</t>
  </si>
  <si>
    <t>This research is receiving funding from the European Community's Seventh Framework Programme (FP7/2007-2013) under grant agreement no: 282996 (ENV.2011.1.2.3-2) ( Positive effects of natural environment for human health and well-being) Duration 1 January 2012-31 December 2015.</t>
  </si>
  <si>
    <t>2044-6055</t>
  </si>
  <si>
    <t>BMJ Open</t>
  </si>
  <si>
    <t>10.1136/bmjopen-2014-004951</t>
  </si>
  <si>
    <t>AH0SL</t>
  </si>
  <si>
    <t>Green Accepted, gold, Green Published</t>
  </si>
  <si>
    <t>WOS:000335830500030</t>
  </si>
  <si>
    <t>Broad study looking into multiple ways in which green and blue space effect health</t>
  </si>
  <si>
    <t>protocol for assessing blue space in europe</t>
  </si>
  <si>
    <t>Europe</t>
  </si>
  <si>
    <t>MacKerron, G; Mourato, S</t>
  </si>
  <si>
    <t>MacKerron, George; Mourato, Susana</t>
  </si>
  <si>
    <t>Happiness is greater in natural environments</t>
  </si>
  <si>
    <t>Happiness; Subjective wellbeing; Nature; Green space; Blue space; Experience sampling method</t>
  </si>
  <si>
    <t>LIFE-SATISFACTION; EXPOSURE; HEALTH; GREENSPACE; EXPERIENCE; PREFERENCE; MOMENTARY</t>
  </si>
  <si>
    <t>Links between wellbeing and environmental factors are of growing interest in psychology, health, conservation, economics, and more widely. There is limited evidence that green or natural environments are positive for physical and mental health and wellbeing. We present a new and unique primary research study exploring the relationship between momentary subjective wellbeing (SWB) and individuals' immediate environment within the UK. We developed and applied an innovative data collection tool: a smartphone app that signals participants at random moments, presenting a brief questionnaire while using satellite positioning (GPS) to determine geographical coordinates. We used this to collect over one million responses from more than 20,000 participants. Associating GPS response locations with objective spatial data, we estimate a model relating land cover to SWB using only the within-individual variation, while controlling for weather, daylight, activity, companionship, location type, time, day, and any response trend. On average, study participants are significantly and substantially happier outdoors in all green or natural habitat types than they are in urban environments. These findings are robust to a number of alternative models and model specifications. This study provides a new line of evidence on links between nature and wellbeing, strengthening existing evidence of a positive relationship between SWB and exposure to green or natural environments in daily life. Our results have informed the UK National Ecosystem Assessment (NEA), and the novel geo-located experience sampling methodology we describe has great potential to provide new insights in a range of areas of interest to policymakers. (C) 2013 Published by Elsevier Ltd.</t>
  </si>
  <si>
    <t>[MacKerron, George] Univ Sussex, Dept Econ, Brighton BN1 9SL, E Sussex, England; [MacKerron, George] UCL, UCL Bartlett Ctr Adv Spatial Anal, London W1T 4TG, England; [MacKerron, George; Mourato, Susana] London Sch Econ &amp; Polit Sci LSE, Dept Geog &amp; Environm, London WC2A 2AE, England</t>
  </si>
  <si>
    <t>University of Sussex; University of London; University College London; University of London; London School Economics &amp; Political Science</t>
  </si>
  <si>
    <t>MacKerron, G (corresponding author), Univ Sussex, Dept Econ, Jubilee Bldg, Brighton BN1 9SL, E Sussex, England.</t>
  </si>
  <si>
    <t>george.mackerron@sussex.ac.uk; s.mourato@lse.ac.uk</t>
  </si>
  <si>
    <t>MacKerron, George J/C-6541-2009</t>
  </si>
  <si>
    <t>MacKerron, George/0000-0001-8326-6047</t>
  </si>
  <si>
    <t>Economic and Social Research Council, UK [PTA-031-2006-00280]</t>
  </si>
  <si>
    <t>Economic and Social Research Council, UK(UK Research &amp; Innovation (UKRI)Economic &amp; Social Research Council (ESRC))</t>
  </si>
  <si>
    <t>We thank: Steve Gibbons, David Maddison, Francesca Cornaglia, Jouni Kuha, Raphael Calel, Antoine Dechezlepretre, and Rich Aston; all beta testers of the iPhone app; all Mappiness study participants; and two anonymous reviewers. This research was funded by the Economic and Social Research Council (grant number PTA-031-2006-00280), UK.</t>
  </si>
  <si>
    <t>10.1016/j.gloenvcha.2013.03.010</t>
  </si>
  <si>
    <t>268OC</t>
  </si>
  <si>
    <t>WOS:000328179400017</t>
  </si>
  <si>
    <t>Assessment of people momentary well-being when in a number of different spaces, well-being is positively associated with being in natural spaces</t>
  </si>
  <si>
    <t>an app called mappiness</t>
  </si>
  <si>
    <t>Huynh, Q; Craig, W; Janssen, I; Pickett, W</t>
  </si>
  <si>
    <t>Quynh Huynh; Craig, Wendy; Janssen, Ian; Pickett, William</t>
  </si>
  <si>
    <t>Exposure to public natural space as a protective factor for emotional well-being among young people in Canada</t>
  </si>
  <si>
    <t>Adolescence; Determinants of health; Emotional well-being; Green space; Nature; Pediatrics</t>
  </si>
  <si>
    <t>GREEN SPACE; MENTAL-HEALTH; SOCIOECONOMIC-STATUS; BUILT ENVIRONMENT; PHYSICAL-ACTIVITY; INNER-CITY; LIFE; ASSOCIATIONS; SATISFACTION; URBANITY</t>
  </si>
  <si>
    <t>Background: Positive emotional well-being is fundamentally important to general health status, and is linked to many favorable health outcomes. There is societal interest in understanding determinants of emotional well-being in adolescence, and the natural environment represents one potential determinant. Psychological and experimental research have each shown links between exposure to nature and both stress reduction and attention restoration. Some population studies have suggested positive effects of green space on various indicators of health. However, there are limited large-scale epidemiological studies assessing this relationship, specifically for populations of young people and in the Canadian context. The objective of this study was to examine the relationship between exposure to public natural space and positive emotional well-being among young adolescent Canadians. Methods: This cross-sectional study was based upon the Canadian 2009/10 Health Behaviour in School-aged Children Survey with linked geographic information system (GIS) data. Following exclusions, the sample included 17 249 (grades 6 to 10, mostly ages 11 to 16) students from 317 schools. Features of the natural environment were extracted using GIS within a 5 km radius circular buffer surrounding each school. Multilevel logistic regression was used to examine the relationship between the presence of public natural space (features include green and blue spaces such as parks, wooded areas, and water bodies) and students' reports of positive emotional well-being, while controlling for salient covariates and the clustered nature of the data. Results: Over half of Canadian youth reported positive emotional well-being (58.5% among boys and 51.6% among girls). Relationships between measures of natural space and positive emotional well-being were weak and lacked consistency overall, but modest protective effects were observed in small cities. Positive emotional well-being was more strongly associated with other factors including demographic characteristics, family affluence, and perceptions of neighbourhood surroundings. Conclusion: Exposure to natural space in youth's immediate living environment may not be a leading determinant of their emotional well-being. The relationship between natural space and positive emotional well-being may be context specific, and thus different for Canadian youth compared to adult populations and those studied in other nations. Factors of the individual context were stronger potential determinants.</t>
  </si>
  <si>
    <t>[Quynh Huynh; Janssen, Ian; Pickett, William] Queens Univ, Dept Community Hlth &amp; Epidemiol, Kingston, ON, Canada; [Craig, Wendy] Queens Univ, Dept Psychol, Kingston, ON K7L 3N6, Canada; [Janssen, Ian] Queens Univ, Sch Kinesiol &amp; Hlth Studies, Kingston, ON, Canada; [Pickett, William] Queens Univ, Dept Emergency Med, Kingston, ON, Canada</t>
  </si>
  <si>
    <t>Queens University - Canada; Queens University - Canada; Queens University - Canada; Queens University - Canada</t>
  </si>
  <si>
    <t>Pickett, W (corresponding author), Queens Univ, Dept Community Hlth &amp; Epidemiol, Kingston, ON, Canada.</t>
  </si>
  <si>
    <t>will.pickett@queensu.ca</t>
  </si>
  <si>
    <t>Janssen, Ian/B-7700-2009; Mistry, Shivani/HHC-2371-2022</t>
  </si>
  <si>
    <t xml:space="preserve">Janssen, Ian/0000-0003-2159-3012; </t>
  </si>
  <si>
    <t>Public Health Agency of Canada; Health Canada; Canadian Institutes of Health Research [MOP 97962]; Canadian Institutes of Health Research; Heart and Stroke Foundation of Canada [PCR 101415]; Empire Life; Ontario Ministry of Research and Innovation</t>
  </si>
  <si>
    <t>Public Health Agency of Canada; Health Canada; Canadian Institutes of Health Research(Canadian Institutes of Health Research (CIHR)); Canadian Institutes of Health Research(Canadian Institutes of Health Research (CIHR)); Heart and Stroke Foundation of Canada(Heart &amp; Stroke Foundation of Canada); Empire Life; Ontario Ministry of Research and Innovation(Ministry of Research and Innovation, Ontario)</t>
  </si>
  <si>
    <t>The Health Behaviour in School-aged Children (HBSC) Survey is a collaborative study through the World Health Organization - European Region (International Coordinator: Candice Currie, University of Edinburgh; Data Bank Manager: Oddrun Samdal, University of Bergen). This manuscript reports data solely from Canada (Principal Investigators: William Pickett and John Freeman; National Coordinator: Matthew King, Queen's University). The Canadian HBSC was funded by the Public Health Agency of Canada and Health Canada.; This study was funded by an operating grant from the Canadian Institutes of Health Research (MOP 97962) and an operating grant co-funded by the Canadian Institutes of Health Research and the Heart and Stroke Foundation of Canada (PCR 101415). QH was supported by a master's award from the Canadian Institutes of Health Research and a research fellowship from Empire Life. IJ was supported by a Canada Research Chair and an investigator award from the Ontario Ministry of Research and Innovation. These funding bodies were not involved in the design, collection, analysis, or interpretation of the study data.</t>
  </si>
  <si>
    <t>APR 29</t>
  </si>
  <si>
    <t>10.1186/1471-2458-13-407</t>
  </si>
  <si>
    <t>140FE</t>
  </si>
  <si>
    <t>WOS:000318639000001</t>
  </si>
  <si>
    <t>exposure to natural space around residencies of children from the health behaviour in schoool study</t>
  </si>
  <si>
    <t>Relationship between natural metrics and healthoutcomes</t>
  </si>
  <si>
    <t>Canada</t>
  </si>
  <si>
    <t>Lundy, L; Wade, R</t>
  </si>
  <si>
    <t>Lundy, L.; Wade, R.</t>
  </si>
  <si>
    <t>Integrating sciences to sustain urban ecosystem services</t>
  </si>
  <si>
    <t>PROGRESS IN PHYSICAL GEOGRAPHY-EARTH AND ENVIRONMENT</t>
  </si>
  <si>
    <t>Millennium Ecosystem Assessment; multifunctional landscapes; urban ecosystem services; water</t>
  </si>
  <si>
    <t>CLIMATE-CHANGE; ENERGY DEMAND; WATER-QUALITY; GREEN SPACE; RIVER; STORMWATER; MANAGEMENT; IMPACT; HEALTH; URBANIZATION</t>
  </si>
  <si>
    <t>Effective water management within urban settings requires robust multidisciplinary understanding and an appreciation of the value added to urban spaces by providing multifunctional green-blue spaces. Multifunctional landscapes where ecosystem service provisions are 'designed-in' can help 'transition' cities to more sustainable environments which are more resilient to changing future conditions. With benefits ranging from the supply of water, habitat and energy to pollutant removal, amenity and opportunities for recreation, urban water bodies can provide a focal point for reconnecting humans and nature in otherwise densely built-up areas. Managing water within urban spaces is an essential infrastructure requirement but has historically been undertaken in isolation from other urban functions and spatial requirements. Increasingly, because of the limits of space and need to respond to new drivers (e. g. mitigation of diffuse pollution), more sustainable approaches to urban water management are being applied which can have multiple functions and benefits. This paper presents a review of ecosystem services associated with water, particularly those in urban environments, and uses the emerging language of ecosystem services to provide a framework for discussion. The range of supporting, provisioning, regulating and cultural ecosystem services associated with differing types of urban water bodies are identified. A matrix is then used to evaluate the results of a series of social, ecological and physical science studies co-located on a single stretch of a restored urban river. Findings identify the benefits of, but also barriers to, the implementation of a transdisciplinary research approach. For many, transdisciplinary research still appears to be on the edge of scientific respectability. In order to approach this challenge, it is imperative that we bring together discipline specific expertise to address fundamental and applied problems in a holistic way. The ecosystem services approach offers an exciting mechanism to support researchers in tackling research questions that require thinking beyond traditional scientific boundaries. The opportunity to fully exploit this approach to collaborative working should not be lost.</t>
  </si>
  <si>
    <t>[Lundy, L.] Middlesex Univ, Urban Pollut Res Ctr, The Burroughs NW4 4BT, Hendon, Ireland; [Wade, R.] Univ Abertay Dundee, Dundee, Scotland</t>
  </si>
  <si>
    <t>Middlesex University; University of Abertay Dundee</t>
  </si>
  <si>
    <t>Lundy, L (corresponding author), Middlesex Univ, Urban Pollut Res Ctr, The Burroughs NW4 4BT, Hendon, Ireland.</t>
  </si>
  <si>
    <t>l.lundy@mdx.ac.uk</t>
  </si>
  <si>
    <t>ESRC/NERC/EPSRC [RES-496-26-0048]; ISSUES; Economic and Social Research Council [RES-496-26-0048] Funding Source: researchfish; ESRC [RES-496-26-0048] Funding Source: UKRI</t>
  </si>
  <si>
    <t>ESRC/NERC/EPSRC(UK Research &amp; Innovation (UKRI)Natural Environment Research Council (NERC)Economic &amp; Social Research Council (ESRC)Engineering &amp; Physical Sciences Research Council (EPSRC)); ISSUES; Economic and Social Research Council(UK Research &amp; Innovation (UKRI)Economic &amp; Social Research Council (ESRC)); ESRC(UK Research &amp; Innovation (UKRI)Economic &amp; Social Research Council (ESRC))</t>
  </si>
  <si>
    <t>The ISSUES seminars were funded jointly by ESRC/NERC/EPSRC (RES-496-26-0048).; Many of the ideas presented in this paper were explored and debated with participants in the transdisciplinary seminar series 'ISSUES - Integrating Sciences to Sustain Urban Ecosystem Services', which ran from 2008 to 2010. The funding detailed below is gratefully acknowledged, as is the contribution of all ISSUES delegates. Research undertaken at the case-study site on the River Brent by several students, including Andrew McMullan and Stella Apostalaki (Abertay Dundee), Abiodun Adeyemi (Middlesex) and Madiha Ahmed (Queen Mary, University of London), is referred to in this paper and their work is hereby acknowledged.</t>
  </si>
  <si>
    <t>0309-1333</t>
  </si>
  <si>
    <t>1477-0296</t>
  </si>
  <si>
    <t>PROG PHYS GEOG</t>
  </si>
  <si>
    <t>Prog. Phys. Geogr.</t>
  </si>
  <si>
    <t>10.1177/0309133311422464</t>
  </si>
  <si>
    <t>Geography, Physical; Geosciences, Multidisciplinary</t>
  </si>
  <si>
    <t>Physical Geography; Geology</t>
  </si>
  <si>
    <t>830EE</t>
  </si>
  <si>
    <t>WOS:000295639400006</t>
  </si>
  <si>
    <t xml:space="preserve">Review of urban blue space ecosystem services </t>
  </si>
  <si>
    <t>Ghosh, S; Pal, S</t>
  </si>
  <si>
    <t>Ghosh, Susmita; Pal, Swades</t>
  </si>
  <si>
    <t>Anthropogenic impacts on urban blue space and its reciprocal effect on human and socio-ecological health</t>
  </si>
  <si>
    <t>Pal, Swades/0000-0003-4561-2783</t>
  </si>
  <si>
    <t>10.1016/j.jenvman.2023.119727</t>
  </si>
  <si>
    <t>DEC 2023</t>
  </si>
  <si>
    <t>WOS:001132540300001</t>
  </si>
  <si>
    <t>Yin, J; Ramanpong, J; Chang, J; Wu, CD; Chao, PH; Yu, CP</t>
  </si>
  <si>
    <t>Yin, Jie; Ramanpong, Jittakon; Chang, Jin; Wu, Chih-Da; Chao, Pei-Hua; Yu, Chia-Pin</t>
  </si>
  <si>
    <t>Effects of blue space exposure in urban and natural environments on psychological and physiological responses: A within-subject experiment</t>
  </si>
  <si>
    <t>Yu, Chia-Pin/AGN-6421-2022</t>
  </si>
  <si>
    <t>Yu, Chia-Pin/0000-0002-7099-4026; Ramanpong, Jittakon/0000-0002-1013-1341</t>
  </si>
  <si>
    <t>10.1016/j.ufug.2023.128066</t>
  </si>
  <si>
    <t>AUG 2023</t>
  </si>
  <si>
    <t>WOS:001068813800001</t>
  </si>
  <si>
    <t>Fian, Leonie/0000-0003-4824-6360; Friesenecker, Michael/0000-0002-9654-6213</t>
  </si>
  <si>
    <t>Kasdagli, Maria-Iosifina/0009-0006-8851-5798; Katsouyanni, Klea/0000-0002-0132-9575; de Hoogh, Kees/0000-0001-5974-2007; Dimakopoulou, Konstantina/0000-0002-0956-0448</t>
  </si>
  <si>
    <t>Wheeler, Benedict William/G-1711-2012</t>
  </si>
  <si>
    <t>Wheeler, Benedict William/0000-0001-9404-5936; Roiko, Anne/0000-0003-0395-307X; Elliott, Lewis/0000-0003-3864-9465; Ojala, Ann/0000-0002-8557-8842</t>
  </si>
  <si>
    <t>Falfán, I; Zambrano, L</t>
  </si>
  <si>
    <t>Zambrano, Luis/0000-0002-8632-0712; Falfan, Ina/0000-0002-8120-8326</t>
  </si>
  <si>
    <t>Chen, Y; Zhen, WN; Li, Y; Zhang, NH; Shi, YS; Shi, DH</t>
  </si>
  <si>
    <t>Chen, Ya; Zhen, Weina; Li, Yu; Zhang, Ninghui; Shi, Yishao; Shi, Donghui</t>
  </si>
  <si>
    <t>Spatiotemporal Analysis of Urban Blue Space in Beijing and the Identification of Multifactor Driving Mechanisms Using Remote Sensing</t>
  </si>
  <si>
    <t>REMOTE SENSING</t>
  </si>
  <si>
    <t>YU, LI/0000-0002-1835-1787</t>
  </si>
  <si>
    <t>2072-4292</t>
  </si>
  <si>
    <t>10.3390/rs15215182</t>
  </si>
  <si>
    <t>WOS:001121074000001</t>
  </si>
  <si>
    <t>Ward Thompson, Catharine/JFA-9237-2023</t>
  </si>
  <si>
    <t>Ward Thompson, Catharine/0000-0002-9563-0026; Roiko, Anne/0000-0003-0395-307X</t>
  </si>
  <si>
    <t>Peroni, F; Codato, D; Buscemi, L; Cibrario, M; Pappalardo, SE; De Marchi, M</t>
  </si>
  <si>
    <t>Peroni, Francesca; Codato, Daniele; Buscemi, Luca; Cibrario, Marco; Pappalardo, Salvatore Eugenio; De Marchi, Massimo</t>
  </si>
  <si>
    <t>Rethinking urban riparian ecosystems as a frontline strategy to counter climate change: mapping 60 years of carbon sequestration evolution in Padua, Italy</t>
  </si>
  <si>
    <t>FRONTIERS IN CLIMATE</t>
  </si>
  <si>
    <t>2624-9553</t>
  </si>
  <si>
    <t>SEP 28</t>
  </si>
  <si>
    <t>10.3389/fclim.2023.1235886</t>
  </si>
  <si>
    <t>WOS:001083296500001</t>
  </si>
  <si>
    <t>Suppakittpaisarn, P; Vienravee, K; Yaipimol, E; Charoenlertthanakit, N; Surinseng, V; Wanitchayapaisit, C</t>
  </si>
  <si>
    <t>Suppakittpaisarn, Pongsakorn; Vienravee, Kanok; Yaipimol, Ekachai; Charoenlertthanakit, Nadchawan; Surinseng, Vipavee; Wanitchayapaisit, Chulalux</t>
  </si>
  <si>
    <t>A Conceptual Framework Development for Designing Nearby Nature for Older Adults</t>
  </si>
  <si>
    <t>LANDSCAPE ARCHITECTURE AND ART</t>
  </si>
  <si>
    <t>2255-8632</t>
  </si>
  <si>
    <t>2255-8640</t>
  </si>
  <si>
    <t>10.22616/j.landarchart.2023.22.12</t>
  </si>
  <si>
    <t>WOS:001157163900006</t>
  </si>
  <si>
    <t>Klompmaker, JO; Hart, JE; Bailey, CR; Browning, MHEM; Casey, JA; Hanley, JR; Minson, CT; Ogletree, SS; Rigolon, A; Laden, F; James, P</t>
  </si>
  <si>
    <t>Klompmaker, Jochem O.; Hart, Jaime E.; Bailey, Christopher R.; Browning, Matthew H. E. M.; Casey, Joan A.; Hanley, Jared R.; Minson, Christopher T.; Ogletree, S. Scott; Rigolon, Alessandro; Laden, Francine; James, Peter</t>
  </si>
  <si>
    <t>Racial, Ethnic, and Socioeconomic Disparities in Multiple Measures of Blue and Green Spaces in the United States</t>
  </si>
  <si>
    <t>Bailey, Christopher/0000-0002-2652-596X; Ogletree, Scott/0000-0002-2607-6017; Hanley, Jared/0000-0003-2963-2637</t>
  </si>
  <si>
    <t>10.1289/EHP11164</t>
  </si>
  <si>
    <t>WOS:001124408100001</t>
  </si>
  <si>
    <t>Buczylowska, D; Baumbach, C; Bratkowski, J; Mysak, Y; Wierzba-Lukaszyk, M; Skotak, K; Sitnik-Warchulska, K; Lipowska, M; Izydorczyk, B; Szwed, M; Markevych, I</t>
  </si>
  <si>
    <t>Buczylowska, Dorota; Baumbach, Clemens; Bratkowski, Jakub; Mysak, Yarema; Wierzba-Lukaszyk, Maja; Skotak, Krzysztof; Sitnik-Warchulska, Katarzyna; Lipowska, Malgorzata; Izydorczyk, Bernadetta; Szwed, Marcin; Markevych, Iana</t>
  </si>
  <si>
    <t>Does exposure to nature make children more intelligent? Analysis in Polish children with and without ADHD</t>
  </si>
  <si>
    <t>Buczylowska, Dorota/JOZ-1822-2023</t>
  </si>
  <si>
    <t>Buczylowska, Dorota/0000-0001-9061-9779; Sitnik-Warchulska, Katarzyna/0000-0001-8262-8034; Markevych, Iana/0000-0002-5214-0748</t>
  </si>
  <si>
    <t>10.1016/j.ijheh.2023.114239</t>
  </si>
  <si>
    <t>WOS:001064678400001</t>
  </si>
  <si>
    <t>Guinaudeau, B; Brink, M; Schäffer, B; Schlaepfer, MA</t>
  </si>
  <si>
    <t>Guinaudeau, Benjamin; Brink, Mark; Schaeffer, Beat; Schlaepfer, Martin A.</t>
  </si>
  <si>
    <t>A Methodology for Quantifying the Spatial Distribution and Social Equity of Urban Green and Blue Spaces</t>
  </si>
  <si>
    <t>Schlaepfer, Martin A./0000-0002-8752-6245; Schaffer, Beat/0000-0002-1805-4117</t>
  </si>
  <si>
    <t>10.3390/su152416886</t>
  </si>
  <si>
    <t>WOS:001132633700001</t>
  </si>
  <si>
    <t>Grzyb, T</t>
  </si>
  <si>
    <t>Grzyb, Tomasz</t>
  </si>
  <si>
    <t>Mapping cultural ecosystem services of the urban riverscapes: the case of the Vistula River in Warsaw, Poland</t>
  </si>
  <si>
    <t>10.1016/j.ecoser.2023.101584</t>
  </si>
  <si>
    <t>WOS:001138306000001</t>
  </si>
  <si>
    <t>Pearson, AL; Lin, ZH; Shortridge, A</t>
  </si>
  <si>
    <t>Pearson, Amber L.; Lin, Zihan; Shortridge, Ashton</t>
  </si>
  <si>
    <t>Beauty is in the eye of the beholder: Moderate ability to predict perceptions of beauty, restorativeness, and naturalness, in imagery among 10,727 participants</t>
  </si>
  <si>
    <t>Pearson, Amber L./0000-0002-8848-1798; Lin, Zihan/0000-0003-2213-7959</t>
  </si>
  <si>
    <t>10.1016/j.landurbplan.2023.104958</t>
  </si>
  <si>
    <t>NOV 2023</t>
  </si>
  <si>
    <t>WOS:001128154800001</t>
  </si>
  <si>
    <t>Cerin, E; Chan, YK; Symmons, M; Soloveva, M; Martino, E; Shaw, JE; Knibbs, LD; Jalaludin, B; Barnett, A</t>
  </si>
  <si>
    <t>Cerin, Ester; Chan, Yih-kai; Symmons, Mark; Soloveva, Maria; Martino, Erika; Shaw, Jonathan E.; Knibbs, Luke D.; Jalaludin, Bin; Barnett, Anthony</t>
  </si>
  <si>
    <t>Associations of the neighbourhood built and natural environment with cardiometabolic health indicators: A cross-sectional analysis of environmental moderators and behavioural mediators</t>
  </si>
  <si>
    <t>; Barnett, Anthony/A-8205-2019; /L-1271-2015</t>
  </si>
  <si>
    <t>Chan, Yih-Kai/0000-0003-3836-8145; Barnett, Anthony/0000-0002-6320-4073; symmons, mark/0000-0002-7396-632X; /0000-0002-7599-165X</t>
  </si>
  <si>
    <t>10.1016/j.envres.2023.117524</t>
  </si>
  <si>
    <t>WOS:001110095300001</t>
  </si>
  <si>
    <t>Wang, HQ; Tassinary, LG</t>
  </si>
  <si>
    <t>Wang, Huaqing; Tassinary, Louis G.</t>
  </si>
  <si>
    <t>Association between greenspace morphology and prevalence of non-communicable diseases mediated by air pollution and physical activity</t>
  </si>
  <si>
    <t>Wang, Huaqing/0000-0002-1630-9753</t>
  </si>
  <si>
    <t>10.1016/j.landurbplan.2023.104934</t>
  </si>
  <si>
    <t>OCT 2023</t>
  </si>
  <si>
    <t>WOS:001110508700001</t>
  </si>
  <si>
    <t>Huang, DK; Kyttä, M; Kajosaari, A; Xie, XH; Zhang, JG</t>
  </si>
  <si>
    <t>Huang, Dengkai; Kytta, Marketta; Kajosaari, Anna; Xie, Xiaohuan; Zhang, Jinguang</t>
  </si>
  <si>
    <t>One approach does not fit all settings: Exploring the effects of natural and built environments on running pleasantness across places</t>
  </si>
  <si>
    <t>BUILDING AND ENVIRONMENT</t>
  </si>
  <si>
    <t>Kajosaari, Anna/AAU-9347-2020</t>
  </si>
  <si>
    <t>Kajosaari, Anna/0000-0001-8165-6770</t>
  </si>
  <si>
    <t>0360-1323</t>
  </si>
  <si>
    <t>1873-684X</t>
  </si>
  <si>
    <t>10.1016/j.buildenv.2023.110961</t>
  </si>
  <si>
    <t>WOS:001107016500001</t>
  </si>
  <si>
    <t>Noszczyk, T</t>
  </si>
  <si>
    <t>Noszczyk, Tomasz</t>
  </si>
  <si>
    <t>Detecting changes in green and blue spaces: Modeling based on statistical approach</t>
  </si>
  <si>
    <t>Noszczyk, Tomasz/Q-9308-2016</t>
  </si>
  <si>
    <t>Noszczyk, Tomasz/0000-0001-6420-633X</t>
  </si>
  <si>
    <t>10.1016/j.ecolind.2023.110878</t>
  </si>
  <si>
    <t>WOS:001071340600001</t>
  </si>
  <si>
    <t>Randler, C; Vanhöfen, J; Härtel, T; Neunhoeffer, F; Engeser, C; Fischer, C</t>
  </si>
  <si>
    <t>Gobster, Paul H/A-2826-2013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</si>
</sst>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0"/>
      <name val="Arial"/>
      <family val="2"/>
    </font>
    <font>
      <sz val="10"/>
      <name val="Arial"/>
      <family val="2"/>
    </font>
    <font>
      <sz val="11"/>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tint="0.59999389629810485"/>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29">
    <xf numFmtId="0" fontId="0" fillId="0" borderId="0" xfId="0"/>
    <xf numFmtId="0" fontId="4" fillId="0" borderId="1" xfId="0" applyFont="1" applyBorder="1" applyAlignment="1">
      <alignment wrapText="1"/>
    </xf>
    <xf numFmtId="0" fontId="4" fillId="0" borderId="2" xfId="0" applyFont="1" applyBorder="1" applyAlignment="1">
      <alignment wrapText="1"/>
    </xf>
    <xf numFmtId="0" fontId="4" fillId="0" borderId="2" xfId="0" applyFont="1" applyBorder="1" applyAlignment="1">
      <alignment horizontal="left" vertical="top" wrapText="1"/>
    </xf>
    <xf numFmtId="0" fontId="4" fillId="0" borderId="2"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xf>
    <xf numFmtId="0" fontId="5" fillId="0" borderId="0" xfId="0" applyFont="1" applyAlignment="1">
      <alignment wrapText="1"/>
    </xf>
    <xf numFmtId="0" fontId="5" fillId="0" borderId="0" xfId="0" applyFont="1"/>
    <xf numFmtId="0" fontId="5" fillId="0" borderId="0" xfId="0" applyFont="1" applyAlignment="1">
      <alignment horizontal="left" vertical="top" wrapText="1"/>
    </xf>
    <xf numFmtId="0" fontId="0" fillId="0" borderId="0" xfId="0" applyAlignment="1">
      <alignment wrapText="1"/>
    </xf>
    <xf numFmtId="0" fontId="5" fillId="0" borderId="0" xfId="0" applyFont="1" applyAlignment="1">
      <alignment horizontal="center" vertical="center"/>
    </xf>
    <xf numFmtId="0" fontId="6" fillId="0" borderId="0" xfId="2" applyFont="1" applyFill="1"/>
    <xf numFmtId="0" fontId="6" fillId="0" borderId="0" xfId="2" applyFont="1" applyFill="1" applyAlignment="1">
      <alignment horizontal="left" vertical="top" wrapText="1"/>
    </xf>
    <xf numFmtId="0" fontId="6" fillId="0" borderId="0" xfId="2" applyFont="1" applyFill="1" applyAlignment="1">
      <alignment horizontal="center" vertical="center"/>
    </xf>
    <xf numFmtId="0" fontId="6" fillId="0" borderId="0" xfId="2" applyFont="1" applyFill="1" applyAlignment="1">
      <alignment wrapText="1"/>
    </xf>
    <xf numFmtId="0" fontId="1" fillId="2" borderId="0" xfId="1"/>
    <xf numFmtId="0" fontId="1" fillId="2" borderId="0" xfId="1" applyAlignment="1">
      <alignment horizontal="left" vertical="top" wrapText="1"/>
    </xf>
    <xf numFmtId="0" fontId="1" fillId="2" borderId="0" xfId="1" applyAlignment="1">
      <alignment horizontal="center" vertical="center"/>
    </xf>
    <xf numFmtId="0" fontId="1" fillId="2" borderId="0" xfId="1" applyAlignment="1">
      <alignment wrapText="1"/>
    </xf>
    <xf numFmtId="0" fontId="6" fillId="5" borderId="0" xfId="2" applyFont="1" applyFill="1" applyAlignment="1">
      <alignment horizontal="left" vertical="top" wrapText="1"/>
    </xf>
    <xf numFmtId="0" fontId="2" fillId="3" borderId="0" xfId="2"/>
    <xf numFmtId="0" fontId="2" fillId="3" borderId="0" xfId="2" applyAlignment="1">
      <alignment horizontal="left" vertical="top" wrapText="1"/>
    </xf>
    <xf numFmtId="0" fontId="2" fillId="3" borderId="0" xfId="2" applyAlignment="1">
      <alignment horizontal="center" vertical="center"/>
    </xf>
    <xf numFmtId="0" fontId="2" fillId="3" borderId="0" xfId="2" applyAlignment="1">
      <alignment wrapText="1"/>
    </xf>
    <xf numFmtId="0" fontId="3" fillId="4" borderId="0" xfId="3"/>
    <xf numFmtId="0" fontId="3" fillId="4" borderId="0" xfId="3" applyAlignment="1">
      <alignment horizontal="left" vertical="top" wrapText="1"/>
    </xf>
    <xf numFmtId="0" fontId="3" fillId="4" borderId="0" xfId="3" applyAlignment="1">
      <alignment horizontal="center" vertical="center"/>
    </xf>
    <xf numFmtId="0" fontId="3" fillId="4" borderId="0" xfId="3" applyAlignment="1">
      <alignment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204"/>
  <sheetViews>
    <sheetView tabSelected="1" topLeftCell="A174" workbookViewId="0">
      <selection activeCell="BF213" sqref="BF213"/>
    </sheetView>
  </sheetViews>
  <sheetFormatPr defaultColWidth="8.85546875" defaultRowHeight="15"/>
  <cols>
    <col min="1" max="8" width="8.85546875" customWidth="1"/>
    <col min="9" max="9" width="89.42578125" style="5" customWidth="1"/>
    <col min="10" max="21" width="8.85546875" customWidth="1"/>
    <col min="22" max="22" width="126.140625" style="5" bestFit="1" customWidth="1"/>
    <col min="23" max="46" width="8.85546875" customWidth="1"/>
    <col min="47" max="47" width="13.7109375" style="6" customWidth="1"/>
    <col min="48" max="61" width="8.85546875" customWidth="1"/>
    <col min="62" max="62" width="85.42578125" style="6" customWidth="1"/>
    <col min="63" max="74" width="8.85546875" customWidth="1"/>
    <col min="75" max="75" width="19.28515625" style="6" bestFit="1" customWidth="1"/>
    <col min="76" max="76" width="34.28515625" style="10" customWidth="1"/>
    <col min="77" max="77" width="23.28515625" style="10" customWidth="1"/>
    <col min="78" max="78" width="34.28515625" customWidth="1"/>
    <col min="79" max="79" width="22.85546875" style="10" customWidth="1"/>
    <col min="80" max="80" width="15.42578125" style="10" customWidth="1"/>
    <col min="81" max="82" width="17.85546875" customWidth="1"/>
    <col min="83" max="83" width="16" customWidth="1"/>
    <col min="84" max="84" width="11.28515625" customWidth="1"/>
    <col min="257" max="264" width="8.85546875" customWidth="1"/>
    <col min="265" max="265" width="89.42578125" customWidth="1"/>
    <col min="266" max="277" width="8.85546875" customWidth="1"/>
    <col min="278" max="278" width="126.140625" bestFit="1" customWidth="1"/>
    <col min="279" max="302" width="8.85546875" customWidth="1"/>
    <col min="303" max="303" width="13.7109375" customWidth="1"/>
    <col min="304" max="330" width="8.85546875" customWidth="1"/>
    <col min="331" max="331" width="19.28515625" bestFit="1" customWidth="1"/>
    <col min="332" max="332" width="34.28515625" customWidth="1"/>
    <col min="333" max="333" width="23.28515625" customWidth="1"/>
    <col min="334" max="334" width="34.28515625" customWidth="1"/>
    <col min="335" max="335" width="22.85546875" customWidth="1"/>
    <col min="336" max="336" width="15.42578125" customWidth="1"/>
    <col min="337" max="338" width="17.85546875" customWidth="1"/>
    <col min="339" max="339" width="16" customWidth="1"/>
    <col min="340" max="340" width="11.28515625" customWidth="1"/>
    <col min="513" max="520" width="8.85546875" customWidth="1"/>
    <col min="521" max="521" width="89.42578125" customWidth="1"/>
    <col min="522" max="533" width="8.85546875" customWidth="1"/>
    <col min="534" max="534" width="126.140625" bestFit="1" customWidth="1"/>
    <col min="535" max="558" width="8.85546875" customWidth="1"/>
    <col min="559" max="559" width="13.7109375" customWidth="1"/>
    <col min="560" max="586" width="8.85546875" customWidth="1"/>
    <col min="587" max="587" width="19.28515625" bestFit="1" customWidth="1"/>
    <col min="588" max="588" width="34.28515625" customWidth="1"/>
    <col min="589" max="589" width="23.28515625" customWidth="1"/>
    <col min="590" max="590" width="34.28515625" customWidth="1"/>
    <col min="591" max="591" width="22.85546875" customWidth="1"/>
    <col min="592" max="592" width="15.42578125" customWidth="1"/>
    <col min="593" max="594" width="17.85546875" customWidth="1"/>
    <col min="595" max="595" width="16" customWidth="1"/>
    <col min="596" max="596" width="11.28515625" customWidth="1"/>
    <col min="769" max="776" width="8.85546875" customWidth="1"/>
    <col min="777" max="777" width="89.42578125" customWidth="1"/>
    <col min="778" max="789" width="8.85546875" customWidth="1"/>
    <col min="790" max="790" width="126.140625" bestFit="1" customWidth="1"/>
    <col min="791" max="814" width="8.85546875" customWidth="1"/>
    <col min="815" max="815" width="13.7109375" customWidth="1"/>
    <col min="816" max="842" width="8.85546875" customWidth="1"/>
    <col min="843" max="843" width="19.28515625" bestFit="1" customWidth="1"/>
    <col min="844" max="844" width="34.28515625" customWidth="1"/>
    <col min="845" max="845" width="23.28515625" customWidth="1"/>
    <col min="846" max="846" width="34.28515625" customWidth="1"/>
    <col min="847" max="847" width="22.85546875" customWidth="1"/>
    <col min="848" max="848" width="15.42578125" customWidth="1"/>
    <col min="849" max="850" width="17.85546875" customWidth="1"/>
    <col min="851" max="851" width="16" customWidth="1"/>
    <col min="852" max="852" width="11.28515625" customWidth="1"/>
    <col min="1025" max="1032" width="8.85546875" customWidth="1"/>
    <col min="1033" max="1033" width="89.42578125" customWidth="1"/>
    <col min="1034" max="1045" width="8.85546875" customWidth="1"/>
    <col min="1046" max="1046" width="126.140625" bestFit="1" customWidth="1"/>
    <col min="1047" max="1070" width="8.85546875" customWidth="1"/>
    <col min="1071" max="1071" width="13.7109375" customWidth="1"/>
    <col min="1072" max="1098" width="8.85546875" customWidth="1"/>
    <col min="1099" max="1099" width="19.28515625" bestFit="1" customWidth="1"/>
    <col min="1100" max="1100" width="34.28515625" customWidth="1"/>
    <col min="1101" max="1101" width="23.28515625" customWidth="1"/>
    <col min="1102" max="1102" width="34.28515625" customWidth="1"/>
    <col min="1103" max="1103" width="22.85546875" customWidth="1"/>
    <col min="1104" max="1104" width="15.42578125" customWidth="1"/>
    <col min="1105" max="1106" width="17.85546875" customWidth="1"/>
    <col min="1107" max="1107" width="16" customWidth="1"/>
    <col min="1108" max="1108" width="11.28515625" customWidth="1"/>
    <col min="1281" max="1288" width="8.85546875" customWidth="1"/>
    <col min="1289" max="1289" width="89.42578125" customWidth="1"/>
    <col min="1290" max="1301" width="8.85546875" customWidth="1"/>
    <col min="1302" max="1302" width="126.140625" bestFit="1" customWidth="1"/>
    <col min="1303" max="1326" width="8.85546875" customWidth="1"/>
    <col min="1327" max="1327" width="13.7109375" customWidth="1"/>
    <col min="1328" max="1354" width="8.85546875" customWidth="1"/>
    <col min="1355" max="1355" width="19.28515625" bestFit="1" customWidth="1"/>
    <col min="1356" max="1356" width="34.28515625" customWidth="1"/>
    <col min="1357" max="1357" width="23.28515625" customWidth="1"/>
    <col min="1358" max="1358" width="34.28515625" customWidth="1"/>
    <col min="1359" max="1359" width="22.85546875" customWidth="1"/>
    <col min="1360" max="1360" width="15.42578125" customWidth="1"/>
    <col min="1361" max="1362" width="17.85546875" customWidth="1"/>
    <col min="1363" max="1363" width="16" customWidth="1"/>
    <col min="1364" max="1364" width="11.28515625" customWidth="1"/>
    <col min="1537" max="1544" width="8.85546875" customWidth="1"/>
    <col min="1545" max="1545" width="89.42578125" customWidth="1"/>
    <col min="1546" max="1557" width="8.85546875" customWidth="1"/>
    <col min="1558" max="1558" width="126.140625" bestFit="1" customWidth="1"/>
    <col min="1559" max="1582" width="8.85546875" customWidth="1"/>
    <col min="1583" max="1583" width="13.7109375" customWidth="1"/>
    <col min="1584" max="1610" width="8.85546875" customWidth="1"/>
    <col min="1611" max="1611" width="19.28515625" bestFit="1" customWidth="1"/>
    <col min="1612" max="1612" width="34.28515625" customWidth="1"/>
    <col min="1613" max="1613" width="23.28515625" customWidth="1"/>
    <col min="1614" max="1614" width="34.28515625" customWidth="1"/>
    <col min="1615" max="1615" width="22.85546875" customWidth="1"/>
    <col min="1616" max="1616" width="15.42578125" customWidth="1"/>
    <col min="1617" max="1618" width="17.85546875" customWidth="1"/>
    <col min="1619" max="1619" width="16" customWidth="1"/>
    <col min="1620" max="1620" width="11.28515625" customWidth="1"/>
    <col min="1793" max="1800" width="8.85546875" customWidth="1"/>
    <col min="1801" max="1801" width="89.42578125" customWidth="1"/>
    <col min="1802" max="1813" width="8.85546875" customWidth="1"/>
    <col min="1814" max="1814" width="126.140625" bestFit="1" customWidth="1"/>
    <col min="1815" max="1838" width="8.85546875" customWidth="1"/>
    <col min="1839" max="1839" width="13.7109375" customWidth="1"/>
    <col min="1840" max="1866" width="8.85546875" customWidth="1"/>
    <col min="1867" max="1867" width="19.28515625" bestFit="1" customWidth="1"/>
    <col min="1868" max="1868" width="34.28515625" customWidth="1"/>
    <col min="1869" max="1869" width="23.28515625" customWidth="1"/>
    <col min="1870" max="1870" width="34.28515625" customWidth="1"/>
    <col min="1871" max="1871" width="22.85546875" customWidth="1"/>
    <col min="1872" max="1872" width="15.42578125" customWidth="1"/>
    <col min="1873" max="1874" width="17.85546875" customWidth="1"/>
    <col min="1875" max="1875" width="16" customWidth="1"/>
    <col min="1876" max="1876" width="11.28515625" customWidth="1"/>
    <col min="2049" max="2056" width="8.85546875" customWidth="1"/>
    <col min="2057" max="2057" width="89.42578125" customWidth="1"/>
    <col min="2058" max="2069" width="8.85546875" customWidth="1"/>
    <col min="2070" max="2070" width="126.140625" bestFit="1" customWidth="1"/>
    <col min="2071" max="2094" width="8.85546875" customWidth="1"/>
    <col min="2095" max="2095" width="13.7109375" customWidth="1"/>
    <col min="2096" max="2122" width="8.85546875" customWidth="1"/>
    <col min="2123" max="2123" width="19.28515625" bestFit="1" customWidth="1"/>
    <col min="2124" max="2124" width="34.28515625" customWidth="1"/>
    <col min="2125" max="2125" width="23.28515625" customWidth="1"/>
    <col min="2126" max="2126" width="34.28515625" customWidth="1"/>
    <col min="2127" max="2127" width="22.85546875" customWidth="1"/>
    <col min="2128" max="2128" width="15.42578125" customWidth="1"/>
    <col min="2129" max="2130" width="17.85546875" customWidth="1"/>
    <col min="2131" max="2131" width="16" customWidth="1"/>
    <col min="2132" max="2132" width="11.28515625" customWidth="1"/>
    <col min="2305" max="2312" width="8.85546875" customWidth="1"/>
    <col min="2313" max="2313" width="89.42578125" customWidth="1"/>
    <col min="2314" max="2325" width="8.85546875" customWidth="1"/>
    <col min="2326" max="2326" width="126.140625" bestFit="1" customWidth="1"/>
    <col min="2327" max="2350" width="8.85546875" customWidth="1"/>
    <col min="2351" max="2351" width="13.7109375" customWidth="1"/>
    <col min="2352" max="2378" width="8.85546875" customWidth="1"/>
    <col min="2379" max="2379" width="19.28515625" bestFit="1" customWidth="1"/>
    <col min="2380" max="2380" width="34.28515625" customWidth="1"/>
    <col min="2381" max="2381" width="23.28515625" customWidth="1"/>
    <col min="2382" max="2382" width="34.28515625" customWidth="1"/>
    <col min="2383" max="2383" width="22.85546875" customWidth="1"/>
    <col min="2384" max="2384" width="15.42578125" customWidth="1"/>
    <col min="2385" max="2386" width="17.85546875" customWidth="1"/>
    <col min="2387" max="2387" width="16" customWidth="1"/>
    <col min="2388" max="2388" width="11.28515625" customWidth="1"/>
    <col min="2561" max="2568" width="8.85546875" customWidth="1"/>
    <col min="2569" max="2569" width="89.42578125" customWidth="1"/>
    <col min="2570" max="2581" width="8.85546875" customWidth="1"/>
    <col min="2582" max="2582" width="126.140625" bestFit="1" customWidth="1"/>
    <col min="2583" max="2606" width="8.85546875" customWidth="1"/>
    <col min="2607" max="2607" width="13.7109375" customWidth="1"/>
    <col min="2608" max="2634" width="8.85546875" customWidth="1"/>
    <col min="2635" max="2635" width="19.28515625" bestFit="1" customWidth="1"/>
    <col min="2636" max="2636" width="34.28515625" customWidth="1"/>
    <col min="2637" max="2637" width="23.28515625" customWidth="1"/>
    <col min="2638" max="2638" width="34.28515625" customWidth="1"/>
    <col min="2639" max="2639" width="22.85546875" customWidth="1"/>
    <col min="2640" max="2640" width="15.42578125" customWidth="1"/>
    <col min="2641" max="2642" width="17.85546875" customWidth="1"/>
    <col min="2643" max="2643" width="16" customWidth="1"/>
    <col min="2644" max="2644" width="11.28515625" customWidth="1"/>
    <col min="2817" max="2824" width="8.85546875" customWidth="1"/>
    <col min="2825" max="2825" width="89.42578125" customWidth="1"/>
    <col min="2826" max="2837" width="8.85546875" customWidth="1"/>
    <col min="2838" max="2838" width="126.140625" bestFit="1" customWidth="1"/>
    <col min="2839" max="2862" width="8.85546875" customWidth="1"/>
    <col min="2863" max="2863" width="13.7109375" customWidth="1"/>
    <col min="2864" max="2890" width="8.85546875" customWidth="1"/>
    <col min="2891" max="2891" width="19.28515625" bestFit="1" customWidth="1"/>
    <col min="2892" max="2892" width="34.28515625" customWidth="1"/>
    <col min="2893" max="2893" width="23.28515625" customWidth="1"/>
    <col min="2894" max="2894" width="34.28515625" customWidth="1"/>
    <col min="2895" max="2895" width="22.85546875" customWidth="1"/>
    <col min="2896" max="2896" width="15.42578125" customWidth="1"/>
    <col min="2897" max="2898" width="17.85546875" customWidth="1"/>
    <col min="2899" max="2899" width="16" customWidth="1"/>
    <col min="2900" max="2900" width="11.28515625" customWidth="1"/>
    <col min="3073" max="3080" width="8.85546875" customWidth="1"/>
    <col min="3081" max="3081" width="89.42578125" customWidth="1"/>
    <col min="3082" max="3093" width="8.85546875" customWidth="1"/>
    <col min="3094" max="3094" width="126.140625" bestFit="1" customWidth="1"/>
    <col min="3095" max="3118" width="8.85546875" customWidth="1"/>
    <col min="3119" max="3119" width="13.7109375" customWidth="1"/>
    <col min="3120" max="3146" width="8.85546875" customWidth="1"/>
    <col min="3147" max="3147" width="19.28515625" bestFit="1" customWidth="1"/>
    <col min="3148" max="3148" width="34.28515625" customWidth="1"/>
    <col min="3149" max="3149" width="23.28515625" customWidth="1"/>
    <col min="3150" max="3150" width="34.28515625" customWidth="1"/>
    <col min="3151" max="3151" width="22.85546875" customWidth="1"/>
    <col min="3152" max="3152" width="15.42578125" customWidth="1"/>
    <col min="3153" max="3154" width="17.85546875" customWidth="1"/>
    <col min="3155" max="3155" width="16" customWidth="1"/>
    <col min="3156" max="3156" width="11.28515625" customWidth="1"/>
    <col min="3329" max="3336" width="8.85546875" customWidth="1"/>
    <col min="3337" max="3337" width="89.42578125" customWidth="1"/>
    <col min="3338" max="3349" width="8.85546875" customWidth="1"/>
    <col min="3350" max="3350" width="126.140625" bestFit="1" customWidth="1"/>
    <col min="3351" max="3374" width="8.85546875" customWidth="1"/>
    <col min="3375" max="3375" width="13.7109375" customWidth="1"/>
    <col min="3376" max="3402" width="8.85546875" customWidth="1"/>
    <col min="3403" max="3403" width="19.28515625" bestFit="1" customWidth="1"/>
    <col min="3404" max="3404" width="34.28515625" customWidth="1"/>
    <col min="3405" max="3405" width="23.28515625" customWidth="1"/>
    <col min="3406" max="3406" width="34.28515625" customWidth="1"/>
    <col min="3407" max="3407" width="22.85546875" customWidth="1"/>
    <col min="3408" max="3408" width="15.42578125" customWidth="1"/>
    <col min="3409" max="3410" width="17.85546875" customWidth="1"/>
    <col min="3411" max="3411" width="16" customWidth="1"/>
    <col min="3412" max="3412" width="11.28515625" customWidth="1"/>
    <col min="3585" max="3592" width="8.85546875" customWidth="1"/>
    <col min="3593" max="3593" width="89.42578125" customWidth="1"/>
    <col min="3594" max="3605" width="8.85546875" customWidth="1"/>
    <col min="3606" max="3606" width="126.140625" bestFit="1" customWidth="1"/>
    <col min="3607" max="3630" width="8.85546875" customWidth="1"/>
    <col min="3631" max="3631" width="13.7109375" customWidth="1"/>
    <col min="3632" max="3658" width="8.85546875" customWidth="1"/>
    <col min="3659" max="3659" width="19.28515625" bestFit="1" customWidth="1"/>
    <col min="3660" max="3660" width="34.28515625" customWidth="1"/>
    <col min="3661" max="3661" width="23.28515625" customWidth="1"/>
    <col min="3662" max="3662" width="34.28515625" customWidth="1"/>
    <col min="3663" max="3663" width="22.85546875" customWidth="1"/>
    <col min="3664" max="3664" width="15.42578125" customWidth="1"/>
    <col min="3665" max="3666" width="17.85546875" customWidth="1"/>
    <col min="3667" max="3667" width="16" customWidth="1"/>
    <col min="3668" max="3668" width="11.28515625" customWidth="1"/>
    <col min="3841" max="3848" width="8.85546875" customWidth="1"/>
    <col min="3849" max="3849" width="89.42578125" customWidth="1"/>
    <col min="3850" max="3861" width="8.85546875" customWidth="1"/>
    <col min="3862" max="3862" width="126.140625" bestFit="1" customWidth="1"/>
    <col min="3863" max="3886" width="8.85546875" customWidth="1"/>
    <col min="3887" max="3887" width="13.7109375" customWidth="1"/>
    <col min="3888" max="3914" width="8.85546875" customWidth="1"/>
    <col min="3915" max="3915" width="19.28515625" bestFit="1" customWidth="1"/>
    <col min="3916" max="3916" width="34.28515625" customWidth="1"/>
    <col min="3917" max="3917" width="23.28515625" customWidth="1"/>
    <col min="3918" max="3918" width="34.28515625" customWidth="1"/>
    <col min="3919" max="3919" width="22.85546875" customWidth="1"/>
    <col min="3920" max="3920" width="15.42578125" customWidth="1"/>
    <col min="3921" max="3922" width="17.85546875" customWidth="1"/>
    <col min="3923" max="3923" width="16" customWidth="1"/>
    <col min="3924" max="3924" width="11.28515625" customWidth="1"/>
    <col min="4097" max="4104" width="8.85546875" customWidth="1"/>
    <col min="4105" max="4105" width="89.42578125" customWidth="1"/>
    <col min="4106" max="4117" width="8.85546875" customWidth="1"/>
    <col min="4118" max="4118" width="126.140625" bestFit="1" customWidth="1"/>
    <col min="4119" max="4142" width="8.85546875" customWidth="1"/>
    <col min="4143" max="4143" width="13.7109375" customWidth="1"/>
    <col min="4144" max="4170" width="8.85546875" customWidth="1"/>
    <col min="4171" max="4171" width="19.28515625" bestFit="1" customWidth="1"/>
    <col min="4172" max="4172" width="34.28515625" customWidth="1"/>
    <col min="4173" max="4173" width="23.28515625" customWidth="1"/>
    <col min="4174" max="4174" width="34.28515625" customWidth="1"/>
    <col min="4175" max="4175" width="22.85546875" customWidth="1"/>
    <col min="4176" max="4176" width="15.42578125" customWidth="1"/>
    <col min="4177" max="4178" width="17.85546875" customWidth="1"/>
    <col min="4179" max="4179" width="16" customWidth="1"/>
    <col min="4180" max="4180" width="11.28515625" customWidth="1"/>
    <col min="4353" max="4360" width="8.85546875" customWidth="1"/>
    <col min="4361" max="4361" width="89.42578125" customWidth="1"/>
    <col min="4362" max="4373" width="8.85546875" customWidth="1"/>
    <col min="4374" max="4374" width="126.140625" bestFit="1" customWidth="1"/>
    <col min="4375" max="4398" width="8.85546875" customWidth="1"/>
    <col min="4399" max="4399" width="13.7109375" customWidth="1"/>
    <col min="4400" max="4426" width="8.85546875" customWidth="1"/>
    <col min="4427" max="4427" width="19.28515625" bestFit="1" customWidth="1"/>
    <col min="4428" max="4428" width="34.28515625" customWidth="1"/>
    <col min="4429" max="4429" width="23.28515625" customWidth="1"/>
    <col min="4430" max="4430" width="34.28515625" customWidth="1"/>
    <col min="4431" max="4431" width="22.85546875" customWidth="1"/>
    <col min="4432" max="4432" width="15.42578125" customWidth="1"/>
    <col min="4433" max="4434" width="17.85546875" customWidth="1"/>
    <col min="4435" max="4435" width="16" customWidth="1"/>
    <col min="4436" max="4436" width="11.28515625" customWidth="1"/>
    <col min="4609" max="4616" width="8.85546875" customWidth="1"/>
    <col min="4617" max="4617" width="89.42578125" customWidth="1"/>
    <col min="4618" max="4629" width="8.85546875" customWidth="1"/>
    <col min="4630" max="4630" width="126.140625" bestFit="1" customWidth="1"/>
    <col min="4631" max="4654" width="8.85546875" customWidth="1"/>
    <col min="4655" max="4655" width="13.7109375" customWidth="1"/>
    <col min="4656" max="4682" width="8.85546875" customWidth="1"/>
    <col min="4683" max="4683" width="19.28515625" bestFit="1" customWidth="1"/>
    <col min="4684" max="4684" width="34.28515625" customWidth="1"/>
    <col min="4685" max="4685" width="23.28515625" customWidth="1"/>
    <col min="4686" max="4686" width="34.28515625" customWidth="1"/>
    <col min="4687" max="4687" width="22.85546875" customWidth="1"/>
    <col min="4688" max="4688" width="15.42578125" customWidth="1"/>
    <col min="4689" max="4690" width="17.85546875" customWidth="1"/>
    <col min="4691" max="4691" width="16" customWidth="1"/>
    <col min="4692" max="4692" width="11.28515625" customWidth="1"/>
    <col min="4865" max="4872" width="8.85546875" customWidth="1"/>
    <col min="4873" max="4873" width="89.42578125" customWidth="1"/>
    <col min="4874" max="4885" width="8.85546875" customWidth="1"/>
    <col min="4886" max="4886" width="126.140625" bestFit="1" customWidth="1"/>
    <col min="4887" max="4910" width="8.85546875" customWidth="1"/>
    <col min="4911" max="4911" width="13.7109375" customWidth="1"/>
    <col min="4912" max="4938" width="8.85546875" customWidth="1"/>
    <col min="4939" max="4939" width="19.28515625" bestFit="1" customWidth="1"/>
    <col min="4940" max="4940" width="34.28515625" customWidth="1"/>
    <col min="4941" max="4941" width="23.28515625" customWidth="1"/>
    <col min="4942" max="4942" width="34.28515625" customWidth="1"/>
    <col min="4943" max="4943" width="22.85546875" customWidth="1"/>
    <col min="4944" max="4944" width="15.42578125" customWidth="1"/>
    <col min="4945" max="4946" width="17.85546875" customWidth="1"/>
    <col min="4947" max="4947" width="16" customWidth="1"/>
    <col min="4948" max="4948" width="11.28515625" customWidth="1"/>
    <col min="5121" max="5128" width="8.85546875" customWidth="1"/>
    <col min="5129" max="5129" width="89.42578125" customWidth="1"/>
    <col min="5130" max="5141" width="8.85546875" customWidth="1"/>
    <col min="5142" max="5142" width="126.140625" bestFit="1" customWidth="1"/>
    <col min="5143" max="5166" width="8.85546875" customWidth="1"/>
    <col min="5167" max="5167" width="13.7109375" customWidth="1"/>
    <col min="5168" max="5194" width="8.85546875" customWidth="1"/>
    <col min="5195" max="5195" width="19.28515625" bestFit="1" customWidth="1"/>
    <col min="5196" max="5196" width="34.28515625" customWidth="1"/>
    <col min="5197" max="5197" width="23.28515625" customWidth="1"/>
    <col min="5198" max="5198" width="34.28515625" customWidth="1"/>
    <col min="5199" max="5199" width="22.85546875" customWidth="1"/>
    <col min="5200" max="5200" width="15.42578125" customWidth="1"/>
    <col min="5201" max="5202" width="17.85546875" customWidth="1"/>
    <col min="5203" max="5203" width="16" customWidth="1"/>
    <col min="5204" max="5204" width="11.28515625" customWidth="1"/>
    <col min="5377" max="5384" width="8.85546875" customWidth="1"/>
    <col min="5385" max="5385" width="89.42578125" customWidth="1"/>
    <col min="5386" max="5397" width="8.85546875" customWidth="1"/>
    <col min="5398" max="5398" width="126.140625" bestFit="1" customWidth="1"/>
    <col min="5399" max="5422" width="8.85546875" customWidth="1"/>
    <col min="5423" max="5423" width="13.7109375" customWidth="1"/>
    <col min="5424" max="5450" width="8.85546875" customWidth="1"/>
    <col min="5451" max="5451" width="19.28515625" bestFit="1" customWidth="1"/>
    <col min="5452" max="5452" width="34.28515625" customWidth="1"/>
    <col min="5453" max="5453" width="23.28515625" customWidth="1"/>
    <col min="5454" max="5454" width="34.28515625" customWidth="1"/>
    <col min="5455" max="5455" width="22.85546875" customWidth="1"/>
    <col min="5456" max="5456" width="15.42578125" customWidth="1"/>
    <col min="5457" max="5458" width="17.85546875" customWidth="1"/>
    <col min="5459" max="5459" width="16" customWidth="1"/>
    <col min="5460" max="5460" width="11.28515625" customWidth="1"/>
    <col min="5633" max="5640" width="8.85546875" customWidth="1"/>
    <col min="5641" max="5641" width="89.42578125" customWidth="1"/>
    <col min="5642" max="5653" width="8.85546875" customWidth="1"/>
    <col min="5654" max="5654" width="126.140625" bestFit="1" customWidth="1"/>
    <col min="5655" max="5678" width="8.85546875" customWidth="1"/>
    <col min="5679" max="5679" width="13.7109375" customWidth="1"/>
    <col min="5680" max="5706" width="8.85546875" customWidth="1"/>
    <col min="5707" max="5707" width="19.28515625" bestFit="1" customWidth="1"/>
    <col min="5708" max="5708" width="34.28515625" customWidth="1"/>
    <col min="5709" max="5709" width="23.28515625" customWidth="1"/>
    <col min="5710" max="5710" width="34.28515625" customWidth="1"/>
    <col min="5711" max="5711" width="22.85546875" customWidth="1"/>
    <col min="5712" max="5712" width="15.42578125" customWidth="1"/>
    <col min="5713" max="5714" width="17.85546875" customWidth="1"/>
    <col min="5715" max="5715" width="16" customWidth="1"/>
    <col min="5716" max="5716" width="11.28515625" customWidth="1"/>
    <col min="5889" max="5896" width="8.85546875" customWidth="1"/>
    <col min="5897" max="5897" width="89.42578125" customWidth="1"/>
    <col min="5898" max="5909" width="8.85546875" customWidth="1"/>
    <col min="5910" max="5910" width="126.140625" bestFit="1" customWidth="1"/>
    <col min="5911" max="5934" width="8.85546875" customWidth="1"/>
    <col min="5935" max="5935" width="13.7109375" customWidth="1"/>
    <col min="5936" max="5962" width="8.85546875" customWidth="1"/>
    <col min="5963" max="5963" width="19.28515625" bestFit="1" customWidth="1"/>
    <col min="5964" max="5964" width="34.28515625" customWidth="1"/>
    <col min="5965" max="5965" width="23.28515625" customWidth="1"/>
    <col min="5966" max="5966" width="34.28515625" customWidth="1"/>
    <col min="5967" max="5967" width="22.85546875" customWidth="1"/>
    <col min="5968" max="5968" width="15.42578125" customWidth="1"/>
    <col min="5969" max="5970" width="17.85546875" customWidth="1"/>
    <col min="5971" max="5971" width="16" customWidth="1"/>
    <col min="5972" max="5972" width="11.28515625" customWidth="1"/>
    <col min="6145" max="6152" width="8.85546875" customWidth="1"/>
    <col min="6153" max="6153" width="89.42578125" customWidth="1"/>
    <col min="6154" max="6165" width="8.85546875" customWidth="1"/>
    <col min="6166" max="6166" width="126.140625" bestFit="1" customWidth="1"/>
    <col min="6167" max="6190" width="8.85546875" customWidth="1"/>
    <col min="6191" max="6191" width="13.7109375" customWidth="1"/>
    <col min="6192" max="6218" width="8.85546875" customWidth="1"/>
    <col min="6219" max="6219" width="19.28515625" bestFit="1" customWidth="1"/>
    <col min="6220" max="6220" width="34.28515625" customWidth="1"/>
    <col min="6221" max="6221" width="23.28515625" customWidth="1"/>
    <col min="6222" max="6222" width="34.28515625" customWidth="1"/>
    <col min="6223" max="6223" width="22.85546875" customWidth="1"/>
    <col min="6224" max="6224" width="15.42578125" customWidth="1"/>
    <col min="6225" max="6226" width="17.85546875" customWidth="1"/>
    <col min="6227" max="6227" width="16" customWidth="1"/>
    <col min="6228" max="6228" width="11.28515625" customWidth="1"/>
    <col min="6401" max="6408" width="8.85546875" customWidth="1"/>
    <col min="6409" max="6409" width="89.42578125" customWidth="1"/>
    <col min="6410" max="6421" width="8.85546875" customWidth="1"/>
    <col min="6422" max="6422" width="126.140625" bestFit="1" customWidth="1"/>
    <col min="6423" max="6446" width="8.85546875" customWidth="1"/>
    <col min="6447" max="6447" width="13.7109375" customWidth="1"/>
    <col min="6448" max="6474" width="8.85546875" customWidth="1"/>
    <col min="6475" max="6475" width="19.28515625" bestFit="1" customWidth="1"/>
    <col min="6476" max="6476" width="34.28515625" customWidth="1"/>
    <col min="6477" max="6477" width="23.28515625" customWidth="1"/>
    <col min="6478" max="6478" width="34.28515625" customWidth="1"/>
    <col min="6479" max="6479" width="22.85546875" customWidth="1"/>
    <col min="6480" max="6480" width="15.42578125" customWidth="1"/>
    <col min="6481" max="6482" width="17.85546875" customWidth="1"/>
    <col min="6483" max="6483" width="16" customWidth="1"/>
    <col min="6484" max="6484" width="11.28515625" customWidth="1"/>
    <col min="6657" max="6664" width="8.85546875" customWidth="1"/>
    <col min="6665" max="6665" width="89.42578125" customWidth="1"/>
    <col min="6666" max="6677" width="8.85546875" customWidth="1"/>
    <col min="6678" max="6678" width="126.140625" bestFit="1" customWidth="1"/>
    <col min="6679" max="6702" width="8.85546875" customWidth="1"/>
    <col min="6703" max="6703" width="13.7109375" customWidth="1"/>
    <col min="6704" max="6730" width="8.85546875" customWidth="1"/>
    <col min="6731" max="6731" width="19.28515625" bestFit="1" customWidth="1"/>
    <col min="6732" max="6732" width="34.28515625" customWidth="1"/>
    <col min="6733" max="6733" width="23.28515625" customWidth="1"/>
    <col min="6734" max="6734" width="34.28515625" customWidth="1"/>
    <col min="6735" max="6735" width="22.85546875" customWidth="1"/>
    <col min="6736" max="6736" width="15.42578125" customWidth="1"/>
    <col min="6737" max="6738" width="17.85546875" customWidth="1"/>
    <col min="6739" max="6739" width="16" customWidth="1"/>
    <col min="6740" max="6740" width="11.28515625" customWidth="1"/>
    <col min="6913" max="6920" width="8.85546875" customWidth="1"/>
    <col min="6921" max="6921" width="89.42578125" customWidth="1"/>
    <col min="6922" max="6933" width="8.85546875" customWidth="1"/>
    <col min="6934" max="6934" width="126.140625" bestFit="1" customWidth="1"/>
    <col min="6935" max="6958" width="8.85546875" customWidth="1"/>
    <col min="6959" max="6959" width="13.7109375" customWidth="1"/>
    <col min="6960" max="6986" width="8.85546875" customWidth="1"/>
    <col min="6987" max="6987" width="19.28515625" bestFit="1" customWidth="1"/>
    <col min="6988" max="6988" width="34.28515625" customWidth="1"/>
    <col min="6989" max="6989" width="23.28515625" customWidth="1"/>
    <col min="6990" max="6990" width="34.28515625" customWidth="1"/>
    <col min="6991" max="6991" width="22.85546875" customWidth="1"/>
    <col min="6992" max="6992" width="15.42578125" customWidth="1"/>
    <col min="6993" max="6994" width="17.85546875" customWidth="1"/>
    <col min="6995" max="6995" width="16" customWidth="1"/>
    <col min="6996" max="6996" width="11.28515625" customWidth="1"/>
    <col min="7169" max="7176" width="8.85546875" customWidth="1"/>
    <col min="7177" max="7177" width="89.42578125" customWidth="1"/>
    <col min="7178" max="7189" width="8.85546875" customWidth="1"/>
    <col min="7190" max="7190" width="126.140625" bestFit="1" customWidth="1"/>
    <col min="7191" max="7214" width="8.85546875" customWidth="1"/>
    <col min="7215" max="7215" width="13.7109375" customWidth="1"/>
    <col min="7216" max="7242" width="8.85546875" customWidth="1"/>
    <col min="7243" max="7243" width="19.28515625" bestFit="1" customWidth="1"/>
    <col min="7244" max="7244" width="34.28515625" customWidth="1"/>
    <col min="7245" max="7245" width="23.28515625" customWidth="1"/>
    <col min="7246" max="7246" width="34.28515625" customWidth="1"/>
    <col min="7247" max="7247" width="22.85546875" customWidth="1"/>
    <col min="7248" max="7248" width="15.42578125" customWidth="1"/>
    <col min="7249" max="7250" width="17.85546875" customWidth="1"/>
    <col min="7251" max="7251" width="16" customWidth="1"/>
    <col min="7252" max="7252" width="11.28515625" customWidth="1"/>
    <col min="7425" max="7432" width="8.85546875" customWidth="1"/>
    <col min="7433" max="7433" width="89.42578125" customWidth="1"/>
    <col min="7434" max="7445" width="8.85546875" customWidth="1"/>
    <col min="7446" max="7446" width="126.140625" bestFit="1" customWidth="1"/>
    <col min="7447" max="7470" width="8.85546875" customWidth="1"/>
    <col min="7471" max="7471" width="13.7109375" customWidth="1"/>
    <col min="7472" max="7498" width="8.85546875" customWidth="1"/>
    <col min="7499" max="7499" width="19.28515625" bestFit="1" customWidth="1"/>
    <col min="7500" max="7500" width="34.28515625" customWidth="1"/>
    <col min="7501" max="7501" width="23.28515625" customWidth="1"/>
    <col min="7502" max="7502" width="34.28515625" customWidth="1"/>
    <col min="7503" max="7503" width="22.85546875" customWidth="1"/>
    <col min="7504" max="7504" width="15.42578125" customWidth="1"/>
    <col min="7505" max="7506" width="17.85546875" customWidth="1"/>
    <col min="7507" max="7507" width="16" customWidth="1"/>
    <col min="7508" max="7508" width="11.28515625" customWidth="1"/>
    <col min="7681" max="7688" width="8.85546875" customWidth="1"/>
    <col min="7689" max="7689" width="89.42578125" customWidth="1"/>
    <col min="7690" max="7701" width="8.85546875" customWidth="1"/>
    <col min="7702" max="7702" width="126.140625" bestFit="1" customWidth="1"/>
    <col min="7703" max="7726" width="8.85546875" customWidth="1"/>
    <col min="7727" max="7727" width="13.7109375" customWidth="1"/>
    <col min="7728" max="7754" width="8.85546875" customWidth="1"/>
    <col min="7755" max="7755" width="19.28515625" bestFit="1" customWidth="1"/>
    <col min="7756" max="7756" width="34.28515625" customWidth="1"/>
    <col min="7757" max="7757" width="23.28515625" customWidth="1"/>
    <col min="7758" max="7758" width="34.28515625" customWidth="1"/>
    <col min="7759" max="7759" width="22.85546875" customWidth="1"/>
    <col min="7760" max="7760" width="15.42578125" customWidth="1"/>
    <col min="7761" max="7762" width="17.85546875" customWidth="1"/>
    <col min="7763" max="7763" width="16" customWidth="1"/>
    <col min="7764" max="7764" width="11.28515625" customWidth="1"/>
    <col min="7937" max="7944" width="8.85546875" customWidth="1"/>
    <col min="7945" max="7945" width="89.42578125" customWidth="1"/>
    <col min="7946" max="7957" width="8.85546875" customWidth="1"/>
    <col min="7958" max="7958" width="126.140625" bestFit="1" customWidth="1"/>
    <col min="7959" max="7982" width="8.85546875" customWidth="1"/>
    <col min="7983" max="7983" width="13.7109375" customWidth="1"/>
    <col min="7984" max="8010" width="8.85546875" customWidth="1"/>
    <col min="8011" max="8011" width="19.28515625" bestFit="1" customWidth="1"/>
    <col min="8012" max="8012" width="34.28515625" customWidth="1"/>
    <col min="8013" max="8013" width="23.28515625" customWidth="1"/>
    <col min="8014" max="8014" width="34.28515625" customWidth="1"/>
    <col min="8015" max="8015" width="22.85546875" customWidth="1"/>
    <col min="8016" max="8016" width="15.42578125" customWidth="1"/>
    <col min="8017" max="8018" width="17.85546875" customWidth="1"/>
    <col min="8019" max="8019" width="16" customWidth="1"/>
    <col min="8020" max="8020" width="11.28515625" customWidth="1"/>
    <col min="8193" max="8200" width="8.85546875" customWidth="1"/>
    <col min="8201" max="8201" width="89.42578125" customWidth="1"/>
    <col min="8202" max="8213" width="8.85546875" customWidth="1"/>
    <col min="8214" max="8214" width="126.140625" bestFit="1" customWidth="1"/>
    <col min="8215" max="8238" width="8.85546875" customWidth="1"/>
    <col min="8239" max="8239" width="13.7109375" customWidth="1"/>
    <col min="8240" max="8266" width="8.85546875" customWidth="1"/>
    <col min="8267" max="8267" width="19.28515625" bestFit="1" customWidth="1"/>
    <col min="8268" max="8268" width="34.28515625" customWidth="1"/>
    <col min="8269" max="8269" width="23.28515625" customWidth="1"/>
    <col min="8270" max="8270" width="34.28515625" customWidth="1"/>
    <col min="8271" max="8271" width="22.85546875" customWidth="1"/>
    <col min="8272" max="8272" width="15.42578125" customWidth="1"/>
    <col min="8273" max="8274" width="17.85546875" customWidth="1"/>
    <col min="8275" max="8275" width="16" customWidth="1"/>
    <col min="8276" max="8276" width="11.28515625" customWidth="1"/>
    <col min="8449" max="8456" width="8.85546875" customWidth="1"/>
    <col min="8457" max="8457" width="89.42578125" customWidth="1"/>
    <col min="8458" max="8469" width="8.85546875" customWidth="1"/>
    <col min="8470" max="8470" width="126.140625" bestFit="1" customWidth="1"/>
    <col min="8471" max="8494" width="8.85546875" customWidth="1"/>
    <col min="8495" max="8495" width="13.7109375" customWidth="1"/>
    <col min="8496" max="8522" width="8.85546875" customWidth="1"/>
    <col min="8523" max="8523" width="19.28515625" bestFit="1" customWidth="1"/>
    <col min="8524" max="8524" width="34.28515625" customWidth="1"/>
    <col min="8525" max="8525" width="23.28515625" customWidth="1"/>
    <col min="8526" max="8526" width="34.28515625" customWidth="1"/>
    <col min="8527" max="8527" width="22.85546875" customWidth="1"/>
    <col min="8528" max="8528" width="15.42578125" customWidth="1"/>
    <col min="8529" max="8530" width="17.85546875" customWidth="1"/>
    <col min="8531" max="8531" width="16" customWidth="1"/>
    <col min="8532" max="8532" width="11.28515625" customWidth="1"/>
    <col min="8705" max="8712" width="8.85546875" customWidth="1"/>
    <col min="8713" max="8713" width="89.42578125" customWidth="1"/>
    <col min="8714" max="8725" width="8.85546875" customWidth="1"/>
    <col min="8726" max="8726" width="126.140625" bestFit="1" customWidth="1"/>
    <col min="8727" max="8750" width="8.85546875" customWidth="1"/>
    <col min="8751" max="8751" width="13.7109375" customWidth="1"/>
    <col min="8752" max="8778" width="8.85546875" customWidth="1"/>
    <col min="8779" max="8779" width="19.28515625" bestFit="1" customWidth="1"/>
    <col min="8780" max="8780" width="34.28515625" customWidth="1"/>
    <col min="8781" max="8781" width="23.28515625" customWidth="1"/>
    <col min="8782" max="8782" width="34.28515625" customWidth="1"/>
    <col min="8783" max="8783" width="22.85546875" customWidth="1"/>
    <col min="8784" max="8784" width="15.42578125" customWidth="1"/>
    <col min="8785" max="8786" width="17.85546875" customWidth="1"/>
    <col min="8787" max="8787" width="16" customWidth="1"/>
    <col min="8788" max="8788" width="11.28515625" customWidth="1"/>
    <col min="8961" max="8968" width="8.85546875" customWidth="1"/>
    <col min="8969" max="8969" width="89.42578125" customWidth="1"/>
    <col min="8970" max="8981" width="8.85546875" customWidth="1"/>
    <col min="8982" max="8982" width="126.140625" bestFit="1" customWidth="1"/>
    <col min="8983" max="9006" width="8.85546875" customWidth="1"/>
    <col min="9007" max="9007" width="13.7109375" customWidth="1"/>
    <col min="9008" max="9034" width="8.85546875" customWidth="1"/>
    <col min="9035" max="9035" width="19.28515625" bestFit="1" customWidth="1"/>
    <col min="9036" max="9036" width="34.28515625" customWidth="1"/>
    <col min="9037" max="9037" width="23.28515625" customWidth="1"/>
    <col min="9038" max="9038" width="34.28515625" customWidth="1"/>
    <col min="9039" max="9039" width="22.85546875" customWidth="1"/>
    <col min="9040" max="9040" width="15.42578125" customWidth="1"/>
    <col min="9041" max="9042" width="17.85546875" customWidth="1"/>
    <col min="9043" max="9043" width="16" customWidth="1"/>
    <col min="9044" max="9044" width="11.28515625" customWidth="1"/>
    <col min="9217" max="9224" width="8.85546875" customWidth="1"/>
    <col min="9225" max="9225" width="89.42578125" customWidth="1"/>
    <col min="9226" max="9237" width="8.85546875" customWidth="1"/>
    <col min="9238" max="9238" width="126.140625" bestFit="1" customWidth="1"/>
    <col min="9239" max="9262" width="8.85546875" customWidth="1"/>
    <col min="9263" max="9263" width="13.7109375" customWidth="1"/>
    <col min="9264" max="9290" width="8.85546875" customWidth="1"/>
    <col min="9291" max="9291" width="19.28515625" bestFit="1" customWidth="1"/>
    <col min="9292" max="9292" width="34.28515625" customWidth="1"/>
    <col min="9293" max="9293" width="23.28515625" customWidth="1"/>
    <col min="9294" max="9294" width="34.28515625" customWidth="1"/>
    <col min="9295" max="9295" width="22.85546875" customWidth="1"/>
    <col min="9296" max="9296" width="15.42578125" customWidth="1"/>
    <col min="9297" max="9298" width="17.85546875" customWidth="1"/>
    <col min="9299" max="9299" width="16" customWidth="1"/>
    <col min="9300" max="9300" width="11.28515625" customWidth="1"/>
    <col min="9473" max="9480" width="8.85546875" customWidth="1"/>
    <col min="9481" max="9481" width="89.42578125" customWidth="1"/>
    <col min="9482" max="9493" width="8.85546875" customWidth="1"/>
    <col min="9494" max="9494" width="126.140625" bestFit="1" customWidth="1"/>
    <col min="9495" max="9518" width="8.85546875" customWidth="1"/>
    <col min="9519" max="9519" width="13.7109375" customWidth="1"/>
    <col min="9520" max="9546" width="8.85546875" customWidth="1"/>
    <col min="9547" max="9547" width="19.28515625" bestFit="1" customWidth="1"/>
    <col min="9548" max="9548" width="34.28515625" customWidth="1"/>
    <col min="9549" max="9549" width="23.28515625" customWidth="1"/>
    <col min="9550" max="9550" width="34.28515625" customWidth="1"/>
    <col min="9551" max="9551" width="22.85546875" customWidth="1"/>
    <col min="9552" max="9552" width="15.42578125" customWidth="1"/>
    <col min="9553" max="9554" width="17.85546875" customWidth="1"/>
    <col min="9555" max="9555" width="16" customWidth="1"/>
    <col min="9556" max="9556" width="11.28515625" customWidth="1"/>
    <col min="9729" max="9736" width="8.85546875" customWidth="1"/>
    <col min="9737" max="9737" width="89.42578125" customWidth="1"/>
    <col min="9738" max="9749" width="8.85546875" customWidth="1"/>
    <col min="9750" max="9750" width="126.140625" bestFit="1" customWidth="1"/>
    <col min="9751" max="9774" width="8.85546875" customWidth="1"/>
    <col min="9775" max="9775" width="13.7109375" customWidth="1"/>
    <col min="9776" max="9802" width="8.85546875" customWidth="1"/>
    <col min="9803" max="9803" width="19.28515625" bestFit="1" customWidth="1"/>
    <col min="9804" max="9804" width="34.28515625" customWidth="1"/>
    <col min="9805" max="9805" width="23.28515625" customWidth="1"/>
    <col min="9806" max="9806" width="34.28515625" customWidth="1"/>
    <col min="9807" max="9807" width="22.85546875" customWidth="1"/>
    <col min="9808" max="9808" width="15.42578125" customWidth="1"/>
    <col min="9809" max="9810" width="17.85546875" customWidth="1"/>
    <col min="9811" max="9811" width="16" customWidth="1"/>
    <col min="9812" max="9812" width="11.28515625" customWidth="1"/>
    <col min="9985" max="9992" width="8.85546875" customWidth="1"/>
    <col min="9993" max="9993" width="89.42578125" customWidth="1"/>
    <col min="9994" max="10005" width="8.85546875" customWidth="1"/>
    <col min="10006" max="10006" width="126.140625" bestFit="1" customWidth="1"/>
    <col min="10007" max="10030" width="8.85546875" customWidth="1"/>
    <col min="10031" max="10031" width="13.7109375" customWidth="1"/>
    <col min="10032" max="10058" width="8.85546875" customWidth="1"/>
    <col min="10059" max="10059" width="19.28515625" bestFit="1" customWidth="1"/>
    <col min="10060" max="10060" width="34.28515625" customWidth="1"/>
    <col min="10061" max="10061" width="23.28515625" customWidth="1"/>
    <col min="10062" max="10062" width="34.28515625" customWidth="1"/>
    <col min="10063" max="10063" width="22.85546875" customWidth="1"/>
    <col min="10064" max="10064" width="15.42578125" customWidth="1"/>
    <col min="10065" max="10066" width="17.85546875" customWidth="1"/>
    <col min="10067" max="10067" width="16" customWidth="1"/>
    <col min="10068" max="10068" width="11.28515625" customWidth="1"/>
    <col min="10241" max="10248" width="8.85546875" customWidth="1"/>
    <col min="10249" max="10249" width="89.42578125" customWidth="1"/>
    <col min="10250" max="10261" width="8.85546875" customWidth="1"/>
    <col min="10262" max="10262" width="126.140625" bestFit="1" customWidth="1"/>
    <col min="10263" max="10286" width="8.85546875" customWidth="1"/>
    <col min="10287" max="10287" width="13.7109375" customWidth="1"/>
    <col min="10288" max="10314" width="8.85546875" customWidth="1"/>
    <col min="10315" max="10315" width="19.28515625" bestFit="1" customWidth="1"/>
    <col min="10316" max="10316" width="34.28515625" customWidth="1"/>
    <col min="10317" max="10317" width="23.28515625" customWidth="1"/>
    <col min="10318" max="10318" width="34.28515625" customWidth="1"/>
    <col min="10319" max="10319" width="22.85546875" customWidth="1"/>
    <col min="10320" max="10320" width="15.42578125" customWidth="1"/>
    <col min="10321" max="10322" width="17.85546875" customWidth="1"/>
    <col min="10323" max="10323" width="16" customWidth="1"/>
    <col min="10324" max="10324" width="11.28515625" customWidth="1"/>
    <col min="10497" max="10504" width="8.85546875" customWidth="1"/>
    <col min="10505" max="10505" width="89.42578125" customWidth="1"/>
    <col min="10506" max="10517" width="8.85546875" customWidth="1"/>
    <col min="10518" max="10518" width="126.140625" bestFit="1" customWidth="1"/>
    <col min="10519" max="10542" width="8.85546875" customWidth="1"/>
    <col min="10543" max="10543" width="13.7109375" customWidth="1"/>
    <col min="10544" max="10570" width="8.85546875" customWidth="1"/>
    <col min="10571" max="10571" width="19.28515625" bestFit="1" customWidth="1"/>
    <col min="10572" max="10572" width="34.28515625" customWidth="1"/>
    <col min="10573" max="10573" width="23.28515625" customWidth="1"/>
    <col min="10574" max="10574" width="34.28515625" customWidth="1"/>
    <col min="10575" max="10575" width="22.85546875" customWidth="1"/>
    <col min="10576" max="10576" width="15.42578125" customWidth="1"/>
    <col min="10577" max="10578" width="17.85546875" customWidth="1"/>
    <col min="10579" max="10579" width="16" customWidth="1"/>
    <col min="10580" max="10580" width="11.28515625" customWidth="1"/>
    <col min="10753" max="10760" width="8.85546875" customWidth="1"/>
    <col min="10761" max="10761" width="89.42578125" customWidth="1"/>
    <col min="10762" max="10773" width="8.85546875" customWidth="1"/>
    <col min="10774" max="10774" width="126.140625" bestFit="1" customWidth="1"/>
    <col min="10775" max="10798" width="8.85546875" customWidth="1"/>
    <col min="10799" max="10799" width="13.7109375" customWidth="1"/>
    <col min="10800" max="10826" width="8.85546875" customWidth="1"/>
    <col min="10827" max="10827" width="19.28515625" bestFit="1" customWidth="1"/>
    <col min="10828" max="10828" width="34.28515625" customWidth="1"/>
    <col min="10829" max="10829" width="23.28515625" customWidth="1"/>
    <col min="10830" max="10830" width="34.28515625" customWidth="1"/>
    <col min="10831" max="10831" width="22.85546875" customWidth="1"/>
    <col min="10832" max="10832" width="15.42578125" customWidth="1"/>
    <col min="10833" max="10834" width="17.85546875" customWidth="1"/>
    <col min="10835" max="10835" width="16" customWidth="1"/>
    <col min="10836" max="10836" width="11.28515625" customWidth="1"/>
    <col min="11009" max="11016" width="8.85546875" customWidth="1"/>
    <col min="11017" max="11017" width="89.42578125" customWidth="1"/>
    <col min="11018" max="11029" width="8.85546875" customWidth="1"/>
    <col min="11030" max="11030" width="126.140625" bestFit="1" customWidth="1"/>
    <col min="11031" max="11054" width="8.85546875" customWidth="1"/>
    <col min="11055" max="11055" width="13.7109375" customWidth="1"/>
    <col min="11056" max="11082" width="8.85546875" customWidth="1"/>
    <col min="11083" max="11083" width="19.28515625" bestFit="1" customWidth="1"/>
    <col min="11084" max="11084" width="34.28515625" customWidth="1"/>
    <col min="11085" max="11085" width="23.28515625" customWidth="1"/>
    <col min="11086" max="11086" width="34.28515625" customWidth="1"/>
    <col min="11087" max="11087" width="22.85546875" customWidth="1"/>
    <col min="11088" max="11088" width="15.42578125" customWidth="1"/>
    <col min="11089" max="11090" width="17.85546875" customWidth="1"/>
    <col min="11091" max="11091" width="16" customWidth="1"/>
    <col min="11092" max="11092" width="11.28515625" customWidth="1"/>
    <col min="11265" max="11272" width="8.85546875" customWidth="1"/>
    <col min="11273" max="11273" width="89.42578125" customWidth="1"/>
    <col min="11274" max="11285" width="8.85546875" customWidth="1"/>
    <col min="11286" max="11286" width="126.140625" bestFit="1" customWidth="1"/>
    <col min="11287" max="11310" width="8.85546875" customWidth="1"/>
    <col min="11311" max="11311" width="13.7109375" customWidth="1"/>
    <col min="11312" max="11338" width="8.85546875" customWidth="1"/>
    <col min="11339" max="11339" width="19.28515625" bestFit="1" customWidth="1"/>
    <col min="11340" max="11340" width="34.28515625" customWidth="1"/>
    <col min="11341" max="11341" width="23.28515625" customWidth="1"/>
    <col min="11342" max="11342" width="34.28515625" customWidth="1"/>
    <col min="11343" max="11343" width="22.85546875" customWidth="1"/>
    <col min="11344" max="11344" width="15.42578125" customWidth="1"/>
    <col min="11345" max="11346" width="17.85546875" customWidth="1"/>
    <col min="11347" max="11347" width="16" customWidth="1"/>
    <col min="11348" max="11348" width="11.28515625" customWidth="1"/>
    <col min="11521" max="11528" width="8.85546875" customWidth="1"/>
    <col min="11529" max="11529" width="89.42578125" customWidth="1"/>
    <col min="11530" max="11541" width="8.85546875" customWidth="1"/>
    <col min="11542" max="11542" width="126.140625" bestFit="1" customWidth="1"/>
    <col min="11543" max="11566" width="8.85546875" customWidth="1"/>
    <col min="11567" max="11567" width="13.7109375" customWidth="1"/>
    <col min="11568" max="11594" width="8.85546875" customWidth="1"/>
    <col min="11595" max="11595" width="19.28515625" bestFit="1" customWidth="1"/>
    <col min="11596" max="11596" width="34.28515625" customWidth="1"/>
    <col min="11597" max="11597" width="23.28515625" customWidth="1"/>
    <col min="11598" max="11598" width="34.28515625" customWidth="1"/>
    <col min="11599" max="11599" width="22.85546875" customWidth="1"/>
    <col min="11600" max="11600" width="15.42578125" customWidth="1"/>
    <col min="11601" max="11602" width="17.85546875" customWidth="1"/>
    <col min="11603" max="11603" width="16" customWidth="1"/>
    <col min="11604" max="11604" width="11.28515625" customWidth="1"/>
    <col min="11777" max="11784" width="8.85546875" customWidth="1"/>
    <col min="11785" max="11785" width="89.42578125" customWidth="1"/>
    <col min="11786" max="11797" width="8.85546875" customWidth="1"/>
    <col min="11798" max="11798" width="126.140625" bestFit="1" customWidth="1"/>
    <col min="11799" max="11822" width="8.85546875" customWidth="1"/>
    <col min="11823" max="11823" width="13.7109375" customWidth="1"/>
    <col min="11824" max="11850" width="8.85546875" customWidth="1"/>
    <col min="11851" max="11851" width="19.28515625" bestFit="1" customWidth="1"/>
    <col min="11852" max="11852" width="34.28515625" customWidth="1"/>
    <col min="11853" max="11853" width="23.28515625" customWidth="1"/>
    <col min="11854" max="11854" width="34.28515625" customWidth="1"/>
    <col min="11855" max="11855" width="22.85546875" customWidth="1"/>
    <col min="11856" max="11856" width="15.42578125" customWidth="1"/>
    <col min="11857" max="11858" width="17.85546875" customWidth="1"/>
    <col min="11859" max="11859" width="16" customWidth="1"/>
    <col min="11860" max="11860" width="11.28515625" customWidth="1"/>
    <col min="12033" max="12040" width="8.85546875" customWidth="1"/>
    <col min="12041" max="12041" width="89.42578125" customWidth="1"/>
    <col min="12042" max="12053" width="8.85546875" customWidth="1"/>
    <col min="12054" max="12054" width="126.140625" bestFit="1" customWidth="1"/>
    <col min="12055" max="12078" width="8.85546875" customWidth="1"/>
    <col min="12079" max="12079" width="13.7109375" customWidth="1"/>
    <col min="12080" max="12106" width="8.85546875" customWidth="1"/>
    <col min="12107" max="12107" width="19.28515625" bestFit="1" customWidth="1"/>
    <col min="12108" max="12108" width="34.28515625" customWidth="1"/>
    <col min="12109" max="12109" width="23.28515625" customWidth="1"/>
    <col min="12110" max="12110" width="34.28515625" customWidth="1"/>
    <col min="12111" max="12111" width="22.85546875" customWidth="1"/>
    <col min="12112" max="12112" width="15.42578125" customWidth="1"/>
    <col min="12113" max="12114" width="17.85546875" customWidth="1"/>
    <col min="12115" max="12115" width="16" customWidth="1"/>
    <col min="12116" max="12116" width="11.28515625" customWidth="1"/>
    <col min="12289" max="12296" width="8.85546875" customWidth="1"/>
    <col min="12297" max="12297" width="89.42578125" customWidth="1"/>
    <col min="12298" max="12309" width="8.85546875" customWidth="1"/>
    <col min="12310" max="12310" width="126.140625" bestFit="1" customWidth="1"/>
    <col min="12311" max="12334" width="8.85546875" customWidth="1"/>
    <col min="12335" max="12335" width="13.7109375" customWidth="1"/>
    <col min="12336" max="12362" width="8.85546875" customWidth="1"/>
    <col min="12363" max="12363" width="19.28515625" bestFit="1" customWidth="1"/>
    <col min="12364" max="12364" width="34.28515625" customWidth="1"/>
    <col min="12365" max="12365" width="23.28515625" customWidth="1"/>
    <col min="12366" max="12366" width="34.28515625" customWidth="1"/>
    <col min="12367" max="12367" width="22.85546875" customWidth="1"/>
    <col min="12368" max="12368" width="15.42578125" customWidth="1"/>
    <col min="12369" max="12370" width="17.85546875" customWidth="1"/>
    <col min="12371" max="12371" width="16" customWidth="1"/>
    <col min="12372" max="12372" width="11.28515625" customWidth="1"/>
    <col min="12545" max="12552" width="8.85546875" customWidth="1"/>
    <col min="12553" max="12553" width="89.42578125" customWidth="1"/>
    <col min="12554" max="12565" width="8.85546875" customWidth="1"/>
    <col min="12566" max="12566" width="126.140625" bestFit="1" customWidth="1"/>
    <col min="12567" max="12590" width="8.85546875" customWidth="1"/>
    <col min="12591" max="12591" width="13.7109375" customWidth="1"/>
    <col min="12592" max="12618" width="8.85546875" customWidth="1"/>
    <col min="12619" max="12619" width="19.28515625" bestFit="1" customWidth="1"/>
    <col min="12620" max="12620" width="34.28515625" customWidth="1"/>
    <col min="12621" max="12621" width="23.28515625" customWidth="1"/>
    <col min="12622" max="12622" width="34.28515625" customWidth="1"/>
    <col min="12623" max="12623" width="22.85546875" customWidth="1"/>
    <col min="12624" max="12624" width="15.42578125" customWidth="1"/>
    <col min="12625" max="12626" width="17.85546875" customWidth="1"/>
    <col min="12627" max="12627" width="16" customWidth="1"/>
    <col min="12628" max="12628" width="11.28515625" customWidth="1"/>
    <col min="12801" max="12808" width="8.85546875" customWidth="1"/>
    <col min="12809" max="12809" width="89.42578125" customWidth="1"/>
    <col min="12810" max="12821" width="8.85546875" customWidth="1"/>
    <col min="12822" max="12822" width="126.140625" bestFit="1" customWidth="1"/>
    <col min="12823" max="12846" width="8.85546875" customWidth="1"/>
    <col min="12847" max="12847" width="13.7109375" customWidth="1"/>
    <col min="12848" max="12874" width="8.85546875" customWidth="1"/>
    <col min="12875" max="12875" width="19.28515625" bestFit="1" customWidth="1"/>
    <col min="12876" max="12876" width="34.28515625" customWidth="1"/>
    <col min="12877" max="12877" width="23.28515625" customWidth="1"/>
    <col min="12878" max="12878" width="34.28515625" customWidth="1"/>
    <col min="12879" max="12879" width="22.85546875" customWidth="1"/>
    <col min="12880" max="12880" width="15.42578125" customWidth="1"/>
    <col min="12881" max="12882" width="17.85546875" customWidth="1"/>
    <col min="12883" max="12883" width="16" customWidth="1"/>
    <col min="12884" max="12884" width="11.28515625" customWidth="1"/>
    <col min="13057" max="13064" width="8.85546875" customWidth="1"/>
    <col min="13065" max="13065" width="89.42578125" customWidth="1"/>
    <col min="13066" max="13077" width="8.85546875" customWidth="1"/>
    <col min="13078" max="13078" width="126.140625" bestFit="1" customWidth="1"/>
    <col min="13079" max="13102" width="8.85546875" customWidth="1"/>
    <col min="13103" max="13103" width="13.7109375" customWidth="1"/>
    <col min="13104" max="13130" width="8.85546875" customWidth="1"/>
    <col min="13131" max="13131" width="19.28515625" bestFit="1" customWidth="1"/>
    <col min="13132" max="13132" width="34.28515625" customWidth="1"/>
    <col min="13133" max="13133" width="23.28515625" customWidth="1"/>
    <col min="13134" max="13134" width="34.28515625" customWidth="1"/>
    <col min="13135" max="13135" width="22.85546875" customWidth="1"/>
    <col min="13136" max="13136" width="15.42578125" customWidth="1"/>
    <col min="13137" max="13138" width="17.85546875" customWidth="1"/>
    <col min="13139" max="13139" width="16" customWidth="1"/>
    <col min="13140" max="13140" width="11.28515625" customWidth="1"/>
    <col min="13313" max="13320" width="8.85546875" customWidth="1"/>
    <col min="13321" max="13321" width="89.42578125" customWidth="1"/>
    <col min="13322" max="13333" width="8.85546875" customWidth="1"/>
    <col min="13334" max="13334" width="126.140625" bestFit="1" customWidth="1"/>
    <col min="13335" max="13358" width="8.85546875" customWidth="1"/>
    <col min="13359" max="13359" width="13.7109375" customWidth="1"/>
    <col min="13360" max="13386" width="8.85546875" customWidth="1"/>
    <col min="13387" max="13387" width="19.28515625" bestFit="1" customWidth="1"/>
    <col min="13388" max="13388" width="34.28515625" customWidth="1"/>
    <col min="13389" max="13389" width="23.28515625" customWidth="1"/>
    <col min="13390" max="13390" width="34.28515625" customWidth="1"/>
    <col min="13391" max="13391" width="22.85546875" customWidth="1"/>
    <col min="13392" max="13392" width="15.42578125" customWidth="1"/>
    <col min="13393" max="13394" width="17.85546875" customWidth="1"/>
    <col min="13395" max="13395" width="16" customWidth="1"/>
    <col min="13396" max="13396" width="11.28515625" customWidth="1"/>
    <col min="13569" max="13576" width="8.85546875" customWidth="1"/>
    <col min="13577" max="13577" width="89.42578125" customWidth="1"/>
    <col min="13578" max="13589" width="8.85546875" customWidth="1"/>
    <col min="13590" max="13590" width="126.140625" bestFit="1" customWidth="1"/>
    <col min="13591" max="13614" width="8.85546875" customWidth="1"/>
    <col min="13615" max="13615" width="13.7109375" customWidth="1"/>
    <col min="13616" max="13642" width="8.85546875" customWidth="1"/>
    <col min="13643" max="13643" width="19.28515625" bestFit="1" customWidth="1"/>
    <col min="13644" max="13644" width="34.28515625" customWidth="1"/>
    <col min="13645" max="13645" width="23.28515625" customWidth="1"/>
    <col min="13646" max="13646" width="34.28515625" customWidth="1"/>
    <col min="13647" max="13647" width="22.85546875" customWidth="1"/>
    <col min="13648" max="13648" width="15.42578125" customWidth="1"/>
    <col min="13649" max="13650" width="17.85546875" customWidth="1"/>
    <col min="13651" max="13651" width="16" customWidth="1"/>
    <col min="13652" max="13652" width="11.28515625" customWidth="1"/>
    <col min="13825" max="13832" width="8.85546875" customWidth="1"/>
    <col min="13833" max="13833" width="89.42578125" customWidth="1"/>
    <col min="13834" max="13845" width="8.85546875" customWidth="1"/>
    <col min="13846" max="13846" width="126.140625" bestFit="1" customWidth="1"/>
    <col min="13847" max="13870" width="8.85546875" customWidth="1"/>
    <col min="13871" max="13871" width="13.7109375" customWidth="1"/>
    <col min="13872" max="13898" width="8.85546875" customWidth="1"/>
    <col min="13899" max="13899" width="19.28515625" bestFit="1" customWidth="1"/>
    <col min="13900" max="13900" width="34.28515625" customWidth="1"/>
    <col min="13901" max="13901" width="23.28515625" customWidth="1"/>
    <col min="13902" max="13902" width="34.28515625" customWidth="1"/>
    <col min="13903" max="13903" width="22.85546875" customWidth="1"/>
    <col min="13904" max="13904" width="15.42578125" customWidth="1"/>
    <col min="13905" max="13906" width="17.85546875" customWidth="1"/>
    <col min="13907" max="13907" width="16" customWidth="1"/>
    <col min="13908" max="13908" width="11.28515625" customWidth="1"/>
    <col min="14081" max="14088" width="8.85546875" customWidth="1"/>
    <col min="14089" max="14089" width="89.42578125" customWidth="1"/>
    <col min="14090" max="14101" width="8.85546875" customWidth="1"/>
    <col min="14102" max="14102" width="126.140625" bestFit="1" customWidth="1"/>
    <col min="14103" max="14126" width="8.85546875" customWidth="1"/>
    <col min="14127" max="14127" width="13.7109375" customWidth="1"/>
    <col min="14128" max="14154" width="8.85546875" customWidth="1"/>
    <col min="14155" max="14155" width="19.28515625" bestFit="1" customWidth="1"/>
    <col min="14156" max="14156" width="34.28515625" customWidth="1"/>
    <col min="14157" max="14157" width="23.28515625" customWidth="1"/>
    <col min="14158" max="14158" width="34.28515625" customWidth="1"/>
    <col min="14159" max="14159" width="22.85546875" customWidth="1"/>
    <col min="14160" max="14160" width="15.42578125" customWidth="1"/>
    <col min="14161" max="14162" width="17.85546875" customWidth="1"/>
    <col min="14163" max="14163" width="16" customWidth="1"/>
    <col min="14164" max="14164" width="11.28515625" customWidth="1"/>
    <col min="14337" max="14344" width="8.85546875" customWidth="1"/>
    <col min="14345" max="14345" width="89.42578125" customWidth="1"/>
    <col min="14346" max="14357" width="8.85546875" customWidth="1"/>
    <col min="14358" max="14358" width="126.140625" bestFit="1" customWidth="1"/>
    <col min="14359" max="14382" width="8.85546875" customWidth="1"/>
    <col min="14383" max="14383" width="13.7109375" customWidth="1"/>
    <col min="14384" max="14410" width="8.85546875" customWidth="1"/>
    <col min="14411" max="14411" width="19.28515625" bestFit="1" customWidth="1"/>
    <col min="14412" max="14412" width="34.28515625" customWidth="1"/>
    <col min="14413" max="14413" width="23.28515625" customWidth="1"/>
    <col min="14414" max="14414" width="34.28515625" customWidth="1"/>
    <col min="14415" max="14415" width="22.85546875" customWidth="1"/>
    <col min="14416" max="14416" width="15.42578125" customWidth="1"/>
    <col min="14417" max="14418" width="17.85546875" customWidth="1"/>
    <col min="14419" max="14419" width="16" customWidth="1"/>
    <col min="14420" max="14420" width="11.28515625" customWidth="1"/>
    <col min="14593" max="14600" width="8.85546875" customWidth="1"/>
    <col min="14601" max="14601" width="89.42578125" customWidth="1"/>
    <col min="14602" max="14613" width="8.85546875" customWidth="1"/>
    <col min="14614" max="14614" width="126.140625" bestFit="1" customWidth="1"/>
    <col min="14615" max="14638" width="8.85546875" customWidth="1"/>
    <col min="14639" max="14639" width="13.7109375" customWidth="1"/>
    <col min="14640" max="14666" width="8.85546875" customWidth="1"/>
    <col min="14667" max="14667" width="19.28515625" bestFit="1" customWidth="1"/>
    <col min="14668" max="14668" width="34.28515625" customWidth="1"/>
    <col min="14669" max="14669" width="23.28515625" customWidth="1"/>
    <col min="14670" max="14670" width="34.28515625" customWidth="1"/>
    <col min="14671" max="14671" width="22.85546875" customWidth="1"/>
    <col min="14672" max="14672" width="15.42578125" customWidth="1"/>
    <col min="14673" max="14674" width="17.85546875" customWidth="1"/>
    <col min="14675" max="14675" width="16" customWidth="1"/>
    <col min="14676" max="14676" width="11.28515625" customWidth="1"/>
    <col min="14849" max="14856" width="8.85546875" customWidth="1"/>
    <col min="14857" max="14857" width="89.42578125" customWidth="1"/>
    <col min="14858" max="14869" width="8.85546875" customWidth="1"/>
    <col min="14870" max="14870" width="126.140625" bestFit="1" customWidth="1"/>
    <col min="14871" max="14894" width="8.85546875" customWidth="1"/>
    <col min="14895" max="14895" width="13.7109375" customWidth="1"/>
    <col min="14896" max="14922" width="8.85546875" customWidth="1"/>
    <col min="14923" max="14923" width="19.28515625" bestFit="1" customWidth="1"/>
    <col min="14924" max="14924" width="34.28515625" customWidth="1"/>
    <col min="14925" max="14925" width="23.28515625" customWidth="1"/>
    <col min="14926" max="14926" width="34.28515625" customWidth="1"/>
    <col min="14927" max="14927" width="22.85546875" customWidth="1"/>
    <col min="14928" max="14928" width="15.42578125" customWidth="1"/>
    <col min="14929" max="14930" width="17.85546875" customWidth="1"/>
    <col min="14931" max="14931" width="16" customWidth="1"/>
    <col min="14932" max="14932" width="11.28515625" customWidth="1"/>
    <col min="15105" max="15112" width="8.85546875" customWidth="1"/>
    <col min="15113" max="15113" width="89.42578125" customWidth="1"/>
    <col min="15114" max="15125" width="8.85546875" customWidth="1"/>
    <col min="15126" max="15126" width="126.140625" bestFit="1" customWidth="1"/>
    <col min="15127" max="15150" width="8.85546875" customWidth="1"/>
    <col min="15151" max="15151" width="13.7109375" customWidth="1"/>
    <col min="15152" max="15178" width="8.85546875" customWidth="1"/>
    <col min="15179" max="15179" width="19.28515625" bestFit="1" customWidth="1"/>
    <col min="15180" max="15180" width="34.28515625" customWidth="1"/>
    <col min="15181" max="15181" width="23.28515625" customWidth="1"/>
    <col min="15182" max="15182" width="34.28515625" customWidth="1"/>
    <col min="15183" max="15183" width="22.85546875" customWidth="1"/>
    <col min="15184" max="15184" width="15.42578125" customWidth="1"/>
    <col min="15185" max="15186" width="17.85546875" customWidth="1"/>
    <col min="15187" max="15187" width="16" customWidth="1"/>
    <col min="15188" max="15188" width="11.28515625" customWidth="1"/>
    <col min="15361" max="15368" width="8.85546875" customWidth="1"/>
    <col min="15369" max="15369" width="89.42578125" customWidth="1"/>
    <col min="15370" max="15381" width="8.85546875" customWidth="1"/>
    <col min="15382" max="15382" width="126.140625" bestFit="1" customWidth="1"/>
    <col min="15383" max="15406" width="8.85546875" customWidth="1"/>
    <col min="15407" max="15407" width="13.7109375" customWidth="1"/>
    <col min="15408" max="15434" width="8.85546875" customWidth="1"/>
    <col min="15435" max="15435" width="19.28515625" bestFit="1" customWidth="1"/>
    <col min="15436" max="15436" width="34.28515625" customWidth="1"/>
    <col min="15437" max="15437" width="23.28515625" customWidth="1"/>
    <col min="15438" max="15438" width="34.28515625" customWidth="1"/>
    <col min="15439" max="15439" width="22.85546875" customWidth="1"/>
    <col min="15440" max="15440" width="15.42578125" customWidth="1"/>
    <col min="15441" max="15442" width="17.85546875" customWidth="1"/>
    <col min="15443" max="15443" width="16" customWidth="1"/>
    <col min="15444" max="15444" width="11.28515625" customWidth="1"/>
    <col min="15617" max="15624" width="8.85546875" customWidth="1"/>
    <col min="15625" max="15625" width="89.42578125" customWidth="1"/>
    <col min="15626" max="15637" width="8.85546875" customWidth="1"/>
    <col min="15638" max="15638" width="126.140625" bestFit="1" customWidth="1"/>
    <col min="15639" max="15662" width="8.85546875" customWidth="1"/>
    <col min="15663" max="15663" width="13.7109375" customWidth="1"/>
    <col min="15664" max="15690" width="8.85546875" customWidth="1"/>
    <col min="15691" max="15691" width="19.28515625" bestFit="1" customWidth="1"/>
    <col min="15692" max="15692" width="34.28515625" customWidth="1"/>
    <col min="15693" max="15693" width="23.28515625" customWidth="1"/>
    <col min="15694" max="15694" width="34.28515625" customWidth="1"/>
    <col min="15695" max="15695" width="22.85546875" customWidth="1"/>
    <col min="15696" max="15696" width="15.42578125" customWidth="1"/>
    <col min="15697" max="15698" width="17.85546875" customWidth="1"/>
    <col min="15699" max="15699" width="16" customWidth="1"/>
    <col min="15700" max="15700" width="11.28515625" customWidth="1"/>
    <col min="15873" max="15880" width="8.85546875" customWidth="1"/>
    <col min="15881" max="15881" width="89.42578125" customWidth="1"/>
    <col min="15882" max="15893" width="8.85546875" customWidth="1"/>
    <col min="15894" max="15894" width="126.140625" bestFit="1" customWidth="1"/>
    <col min="15895" max="15918" width="8.85546875" customWidth="1"/>
    <col min="15919" max="15919" width="13.7109375" customWidth="1"/>
    <col min="15920" max="15946" width="8.85546875" customWidth="1"/>
    <col min="15947" max="15947" width="19.28515625" bestFit="1" customWidth="1"/>
    <col min="15948" max="15948" width="34.28515625" customWidth="1"/>
    <col min="15949" max="15949" width="23.28515625" customWidth="1"/>
    <col min="15950" max="15950" width="34.28515625" customWidth="1"/>
    <col min="15951" max="15951" width="22.85546875" customWidth="1"/>
    <col min="15952" max="15952" width="15.42578125" customWidth="1"/>
    <col min="15953" max="15954" width="17.85546875" customWidth="1"/>
    <col min="15955" max="15955" width="16" customWidth="1"/>
    <col min="15956" max="15956" width="11.28515625" customWidth="1"/>
    <col min="16129" max="16136" width="8.85546875" customWidth="1"/>
    <col min="16137" max="16137" width="89.42578125" customWidth="1"/>
    <col min="16138" max="16149" width="8.85546875" customWidth="1"/>
    <col min="16150" max="16150" width="126.140625" bestFit="1" customWidth="1"/>
    <col min="16151" max="16174" width="8.85546875" customWidth="1"/>
    <col min="16175" max="16175" width="13.7109375" customWidth="1"/>
    <col min="16176" max="16202" width="8.85546875" customWidth="1"/>
    <col min="16203" max="16203" width="19.28515625" bestFit="1" customWidth="1"/>
    <col min="16204" max="16204" width="34.28515625" customWidth="1"/>
    <col min="16205" max="16205" width="23.28515625" customWidth="1"/>
    <col min="16206" max="16206" width="34.28515625" customWidth="1"/>
    <col min="16207" max="16207" width="22.85546875" customWidth="1"/>
    <col min="16208" max="16208" width="15.42578125" customWidth="1"/>
    <col min="16209" max="16210" width="17.85546875" customWidth="1"/>
    <col min="16211" max="16211" width="16" customWidth="1"/>
    <col min="16212" max="16212" width="11.28515625" customWidth="1"/>
  </cols>
  <sheetData>
    <row r="1" spans="1:85" s="2" customFormat="1" ht="34.5" customHeight="1" thickBot="1">
      <c r="A1" s="1" t="s">
        <v>0</v>
      </c>
      <c r="B1" s="2"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2" t="s">
        <v>17</v>
      </c>
      <c r="S1" s="2" t="s">
        <v>18</v>
      </c>
      <c r="T1" s="2" t="s">
        <v>19</v>
      </c>
      <c r="U1" s="2" t="s">
        <v>20</v>
      </c>
      <c r="V1" s="3"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4"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4" t="s">
        <v>61</v>
      </c>
      <c r="BK1" s="2" t="s">
        <v>62</v>
      </c>
      <c r="BL1" s="2" t="s">
        <v>63</v>
      </c>
      <c r="BM1" s="2" t="s">
        <v>64</v>
      </c>
      <c r="BN1" s="2" t="s">
        <v>65</v>
      </c>
      <c r="BO1" s="2" t="s">
        <v>66</v>
      </c>
      <c r="BP1" s="2" t="s">
        <v>67</v>
      </c>
      <c r="BQ1" s="2" t="s">
        <v>68</v>
      </c>
      <c r="BR1" s="2" t="s">
        <v>69</v>
      </c>
      <c r="BS1" s="2" t="s">
        <v>70</v>
      </c>
      <c r="BT1" s="2" t="s">
        <v>71</v>
      </c>
      <c r="BW1" s="4" t="s">
        <v>72</v>
      </c>
      <c r="BX1" s="2" t="s">
        <v>73</v>
      </c>
      <c r="BY1" s="2" t="s">
        <v>74</v>
      </c>
      <c r="BZ1" s="2" t="s">
        <v>75</v>
      </c>
      <c r="CA1" s="2" t="s">
        <v>76</v>
      </c>
      <c r="CB1" s="2" t="s">
        <v>77</v>
      </c>
      <c r="CC1" s="2" t="s">
        <v>78</v>
      </c>
      <c r="CD1" s="2" t="s">
        <v>79</v>
      </c>
      <c r="CE1" s="2" t="s">
        <v>80</v>
      </c>
      <c r="CF1" s="2" t="s">
        <v>81</v>
      </c>
      <c r="CG1" s="2" t="s">
        <v>82</v>
      </c>
    </row>
    <row r="2" spans="1:85" ht="255">
      <c r="A2" t="s">
        <v>83</v>
      </c>
      <c r="B2" t="s">
        <v>84</v>
      </c>
      <c r="C2" t="s">
        <v>85</v>
      </c>
      <c r="D2" t="s">
        <v>85</v>
      </c>
      <c r="E2" t="s">
        <v>85</v>
      </c>
      <c r="F2" t="s">
        <v>86</v>
      </c>
      <c r="G2" t="s">
        <v>85</v>
      </c>
      <c r="H2" t="s">
        <v>85</v>
      </c>
      <c r="I2" s="5" t="s">
        <v>87</v>
      </c>
      <c r="J2" t="s">
        <v>88</v>
      </c>
      <c r="K2" t="s">
        <v>85</v>
      </c>
      <c r="L2" t="s">
        <v>85</v>
      </c>
      <c r="M2" t="s">
        <v>89</v>
      </c>
      <c r="N2" t="s">
        <v>90</v>
      </c>
      <c r="O2" t="s">
        <v>85</v>
      </c>
      <c r="P2" t="s">
        <v>85</v>
      </c>
      <c r="Q2" t="s">
        <v>85</v>
      </c>
      <c r="R2" t="s">
        <v>85</v>
      </c>
      <c r="S2" t="s">
        <v>85</v>
      </c>
      <c r="T2" t="s">
        <v>85</v>
      </c>
      <c r="U2" t="s">
        <v>91</v>
      </c>
      <c r="V2" s="5" t="s">
        <v>92</v>
      </c>
      <c r="W2" t="s">
        <v>93</v>
      </c>
      <c r="X2" t="s">
        <v>94</v>
      </c>
      <c r="Y2" t="s">
        <v>95</v>
      </c>
      <c r="Z2" t="s">
        <v>96</v>
      </c>
      <c r="AA2" t="s">
        <v>85</v>
      </c>
      <c r="AB2" t="s">
        <v>97</v>
      </c>
      <c r="AC2" t="s">
        <v>98</v>
      </c>
      <c r="AD2" t="s">
        <v>99</v>
      </c>
      <c r="AE2" t="s">
        <v>100</v>
      </c>
      <c r="AF2" t="s">
        <v>85</v>
      </c>
      <c r="AG2">
        <v>99</v>
      </c>
      <c r="AH2">
        <v>0</v>
      </c>
      <c r="AI2">
        <v>0</v>
      </c>
      <c r="AJ2">
        <v>4</v>
      </c>
      <c r="AK2">
        <v>4</v>
      </c>
      <c r="AL2" t="s">
        <v>101</v>
      </c>
      <c r="AM2" t="s">
        <v>102</v>
      </c>
      <c r="AN2" t="s">
        <v>103</v>
      </c>
      <c r="AO2" t="s">
        <v>104</v>
      </c>
      <c r="AP2" t="s">
        <v>105</v>
      </c>
      <c r="AQ2" t="s">
        <v>85</v>
      </c>
      <c r="AR2" t="s">
        <v>106</v>
      </c>
      <c r="AS2" t="s">
        <v>107</v>
      </c>
      <c r="AT2" t="s">
        <v>108</v>
      </c>
      <c r="AU2" s="6">
        <v>2023</v>
      </c>
      <c r="AV2">
        <v>178</v>
      </c>
      <c r="AW2" t="s">
        <v>85</v>
      </c>
      <c r="AX2" t="s">
        <v>85</v>
      </c>
      <c r="AY2" t="s">
        <v>85</v>
      </c>
      <c r="AZ2" t="s">
        <v>85</v>
      </c>
      <c r="BA2" t="s">
        <v>85</v>
      </c>
      <c r="BB2" t="s">
        <v>85</v>
      </c>
      <c r="BC2" t="s">
        <v>85</v>
      </c>
      <c r="BD2">
        <v>108077</v>
      </c>
      <c r="BE2" t="s">
        <v>109</v>
      </c>
      <c r="BF2" t="str">
        <f>HYPERLINK("http://dx.doi.org/10.1016/j.envint.2023.108077","http://dx.doi.org/10.1016/j.envint.2023.108077")</f>
        <v>http://dx.doi.org/10.1016/j.envint.2023.108077</v>
      </c>
      <c r="BG2" t="s">
        <v>85</v>
      </c>
      <c r="BH2" t="s">
        <v>110</v>
      </c>
      <c r="BI2">
        <v>18</v>
      </c>
      <c r="BJ2" s="6" t="s">
        <v>111</v>
      </c>
      <c r="BK2" t="s">
        <v>112</v>
      </c>
      <c r="BL2" t="s">
        <v>113</v>
      </c>
      <c r="BM2" t="s">
        <v>114</v>
      </c>
      <c r="BN2">
        <v>37413929</v>
      </c>
      <c r="BO2" t="s">
        <v>115</v>
      </c>
      <c r="BP2" t="s">
        <v>85</v>
      </c>
      <c r="BQ2" t="s">
        <v>85</v>
      </c>
      <c r="BR2" t="s">
        <v>116</v>
      </c>
      <c r="BS2" t="s">
        <v>117</v>
      </c>
      <c r="BT2" t="str">
        <f>HYPERLINK("https%3A%2F%2Fwww.webofscience.com%2Fwos%2Fwoscc%2Ffull-record%2FWOS:001039821800001","View Full Record in Web of Science")</f>
        <v>View Full Record in Web of Science</v>
      </c>
      <c r="BW2" s="6" t="s">
        <v>118</v>
      </c>
      <c r="BX2" s="7" t="s">
        <v>119</v>
      </c>
      <c r="BY2" s="7" t="s">
        <v>120</v>
      </c>
      <c r="BZ2">
        <v>30</v>
      </c>
      <c r="CA2" s="7" t="s">
        <v>121</v>
      </c>
      <c r="CB2" s="7" t="s">
        <v>122</v>
      </c>
      <c r="CC2" s="8" t="s">
        <v>123</v>
      </c>
      <c r="CD2" s="8" t="s">
        <v>124</v>
      </c>
      <c r="CE2" s="8" t="s">
        <v>118</v>
      </c>
      <c r="CF2" s="8" t="s">
        <v>125</v>
      </c>
    </row>
    <row r="3" spans="1:85" ht="195">
      <c r="A3" t="s">
        <v>83</v>
      </c>
      <c r="B3" t="s">
        <v>126</v>
      </c>
      <c r="C3" t="s">
        <v>85</v>
      </c>
      <c r="D3" t="s">
        <v>85</v>
      </c>
      <c r="E3" t="s">
        <v>85</v>
      </c>
      <c r="F3" t="s">
        <v>127</v>
      </c>
      <c r="G3" t="s">
        <v>85</v>
      </c>
      <c r="H3" t="s">
        <v>85</v>
      </c>
      <c r="I3" s="5" t="s">
        <v>128</v>
      </c>
      <c r="J3" t="s">
        <v>129</v>
      </c>
      <c r="K3" t="s">
        <v>85</v>
      </c>
      <c r="L3" t="s">
        <v>85</v>
      </c>
      <c r="M3" t="s">
        <v>89</v>
      </c>
      <c r="N3" t="s">
        <v>90</v>
      </c>
      <c r="O3" t="s">
        <v>85</v>
      </c>
      <c r="P3" t="s">
        <v>85</v>
      </c>
      <c r="Q3" t="s">
        <v>85</v>
      </c>
      <c r="R3" t="s">
        <v>85</v>
      </c>
      <c r="S3" t="s">
        <v>85</v>
      </c>
      <c r="T3" t="s">
        <v>130</v>
      </c>
      <c r="U3" t="s">
        <v>131</v>
      </c>
      <c r="V3" s="5" t="s">
        <v>132</v>
      </c>
      <c r="W3" t="s">
        <v>133</v>
      </c>
      <c r="X3" t="s">
        <v>134</v>
      </c>
      <c r="Y3" t="s">
        <v>135</v>
      </c>
      <c r="Z3" t="s">
        <v>136</v>
      </c>
      <c r="AA3" t="s">
        <v>85</v>
      </c>
      <c r="AB3" t="s">
        <v>85</v>
      </c>
      <c r="AC3" t="s">
        <v>85</v>
      </c>
      <c r="AD3" t="s">
        <v>85</v>
      </c>
      <c r="AE3" t="s">
        <v>85</v>
      </c>
      <c r="AF3" t="s">
        <v>85</v>
      </c>
      <c r="AG3">
        <v>59</v>
      </c>
      <c r="AH3">
        <v>0</v>
      </c>
      <c r="AI3">
        <v>0</v>
      </c>
      <c r="AJ3">
        <v>1</v>
      </c>
      <c r="AK3">
        <v>1</v>
      </c>
      <c r="AL3" t="s">
        <v>137</v>
      </c>
      <c r="AM3" t="s">
        <v>138</v>
      </c>
      <c r="AN3" t="s">
        <v>139</v>
      </c>
      <c r="AO3" t="s">
        <v>85</v>
      </c>
      <c r="AP3" t="s">
        <v>140</v>
      </c>
      <c r="AQ3" t="s">
        <v>85</v>
      </c>
      <c r="AR3" t="s">
        <v>141</v>
      </c>
      <c r="AS3" t="s">
        <v>142</v>
      </c>
      <c r="AT3" t="s">
        <v>143</v>
      </c>
      <c r="AU3" s="6">
        <v>2023</v>
      </c>
      <c r="AV3">
        <v>12</v>
      </c>
      <c r="AW3">
        <v>7</v>
      </c>
      <c r="AX3" t="s">
        <v>85</v>
      </c>
      <c r="AY3" t="s">
        <v>85</v>
      </c>
      <c r="AZ3" t="s">
        <v>85</v>
      </c>
      <c r="BA3" t="s">
        <v>85</v>
      </c>
      <c r="BB3" t="s">
        <v>85</v>
      </c>
      <c r="BC3" t="s">
        <v>85</v>
      </c>
      <c r="BD3">
        <v>1317</v>
      </c>
      <c r="BE3" t="s">
        <v>144</v>
      </c>
      <c r="BF3" t="str">
        <f>HYPERLINK("http://dx.doi.org/10.3390/land12071317","http://dx.doi.org/10.3390/land12071317")</f>
        <v>http://dx.doi.org/10.3390/land12071317</v>
      </c>
      <c r="BG3" t="s">
        <v>85</v>
      </c>
      <c r="BH3" t="s">
        <v>85</v>
      </c>
      <c r="BI3">
        <v>25</v>
      </c>
      <c r="BJ3" s="6" t="s">
        <v>145</v>
      </c>
      <c r="BK3" t="s">
        <v>146</v>
      </c>
      <c r="BL3" t="s">
        <v>113</v>
      </c>
      <c r="BM3" t="s">
        <v>147</v>
      </c>
      <c r="BN3" t="s">
        <v>85</v>
      </c>
      <c r="BO3" t="s">
        <v>115</v>
      </c>
      <c r="BP3" t="s">
        <v>85</v>
      </c>
      <c r="BQ3" t="s">
        <v>85</v>
      </c>
      <c r="BR3" t="s">
        <v>116</v>
      </c>
      <c r="BS3" t="s">
        <v>148</v>
      </c>
      <c r="BT3" t="str">
        <f>HYPERLINK("https%3A%2F%2Fwww.webofscience.com%2Fwos%2Fwoscc%2Ffull-record%2FWOS:001036289400001","View Full Record in Web of Science")</f>
        <v>View Full Record in Web of Science</v>
      </c>
      <c r="BW3" s="6" t="s">
        <v>149</v>
      </c>
      <c r="BX3" s="7" t="s">
        <v>150</v>
      </c>
      <c r="BY3" s="7" t="s">
        <v>151</v>
      </c>
      <c r="CA3" s="7" t="s">
        <v>152</v>
      </c>
      <c r="CB3" s="7" t="s">
        <v>122</v>
      </c>
      <c r="CC3" s="8" t="s">
        <v>153</v>
      </c>
      <c r="CD3" s="8" t="s">
        <v>124</v>
      </c>
      <c r="CE3" s="8" t="s">
        <v>118</v>
      </c>
      <c r="CF3" s="8" t="s">
        <v>154</v>
      </c>
    </row>
    <row r="4" spans="1:85" ht="140.25">
      <c r="A4" t="s">
        <v>83</v>
      </c>
      <c r="B4" t="s">
        <v>155</v>
      </c>
      <c r="C4" t="s">
        <v>85</v>
      </c>
      <c r="D4" t="s">
        <v>85</v>
      </c>
      <c r="E4" t="s">
        <v>85</v>
      </c>
      <c r="F4" t="s">
        <v>156</v>
      </c>
      <c r="G4" t="s">
        <v>85</v>
      </c>
      <c r="H4" t="s">
        <v>85</v>
      </c>
      <c r="I4" s="5" t="s">
        <v>157</v>
      </c>
      <c r="J4" t="s">
        <v>158</v>
      </c>
      <c r="K4" t="s">
        <v>85</v>
      </c>
      <c r="L4" t="s">
        <v>85</v>
      </c>
      <c r="M4" t="s">
        <v>89</v>
      </c>
      <c r="N4" t="s">
        <v>90</v>
      </c>
      <c r="O4" t="s">
        <v>85</v>
      </c>
      <c r="P4" t="s">
        <v>85</v>
      </c>
      <c r="Q4" t="s">
        <v>85</v>
      </c>
      <c r="R4" t="s">
        <v>85</v>
      </c>
      <c r="S4" t="s">
        <v>85</v>
      </c>
      <c r="T4" t="s">
        <v>159</v>
      </c>
      <c r="U4" t="s">
        <v>160</v>
      </c>
      <c r="V4" s="9" t="s">
        <v>161</v>
      </c>
      <c r="W4" t="s">
        <v>162</v>
      </c>
      <c r="X4" t="s">
        <v>163</v>
      </c>
      <c r="Y4" t="s">
        <v>164</v>
      </c>
      <c r="Z4" t="s">
        <v>165</v>
      </c>
      <c r="AA4" t="s">
        <v>85</v>
      </c>
      <c r="AB4" t="s">
        <v>85</v>
      </c>
      <c r="AC4" t="s">
        <v>85</v>
      </c>
      <c r="AD4" t="s">
        <v>85</v>
      </c>
      <c r="AE4" t="s">
        <v>85</v>
      </c>
      <c r="AF4" t="s">
        <v>85</v>
      </c>
      <c r="AG4">
        <v>112</v>
      </c>
      <c r="AH4">
        <v>0</v>
      </c>
      <c r="AI4">
        <v>0</v>
      </c>
      <c r="AJ4">
        <v>2</v>
      </c>
      <c r="AK4">
        <v>2</v>
      </c>
      <c r="AL4" t="s">
        <v>137</v>
      </c>
      <c r="AM4" t="s">
        <v>138</v>
      </c>
      <c r="AN4" t="s">
        <v>139</v>
      </c>
      <c r="AO4" t="s">
        <v>85</v>
      </c>
      <c r="AP4" t="s">
        <v>166</v>
      </c>
      <c r="AQ4" t="s">
        <v>85</v>
      </c>
      <c r="AR4" t="s">
        <v>167</v>
      </c>
      <c r="AS4" t="s">
        <v>168</v>
      </c>
      <c r="AT4" t="s">
        <v>143</v>
      </c>
      <c r="AU4" s="6">
        <v>2023</v>
      </c>
      <c r="AV4">
        <v>15</v>
      </c>
      <c r="AW4">
        <v>13</v>
      </c>
      <c r="AX4" t="s">
        <v>85</v>
      </c>
      <c r="AY4" t="s">
        <v>85</v>
      </c>
      <c r="AZ4" t="s">
        <v>85</v>
      </c>
      <c r="BA4" t="s">
        <v>85</v>
      </c>
      <c r="BB4" t="s">
        <v>85</v>
      </c>
      <c r="BC4" t="s">
        <v>85</v>
      </c>
      <c r="BD4">
        <v>10214</v>
      </c>
      <c r="BE4" t="s">
        <v>169</v>
      </c>
      <c r="BF4" t="str">
        <f>HYPERLINK("http://dx.doi.org/10.3390/su151310214","http://dx.doi.org/10.3390/su151310214")</f>
        <v>http://dx.doi.org/10.3390/su151310214</v>
      </c>
      <c r="BG4" t="s">
        <v>85</v>
      </c>
      <c r="BH4" t="s">
        <v>85</v>
      </c>
      <c r="BI4">
        <v>24</v>
      </c>
      <c r="BJ4" s="6" t="s">
        <v>170</v>
      </c>
      <c r="BK4" t="s">
        <v>171</v>
      </c>
      <c r="BL4" t="s">
        <v>172</v>
      </c>
      <c r="BM4" t="s">
        <v>173</v>
      </c>
      <c r="BN4" t="s">
        <v>85</v>
      </c>
      <c r="BO4" t="s">
        <v>115</v>
      </c>
      <c r="BP4" t="s">
        <v>85</v>
      </c>
      <c r="BQ4" t="s">
        <v>85</v>
      </c>
      <c r="BR4" t="s">
        <v>116</v>
      </c>
      <c r="BS4" t="s">
        <v>174</v>
      </c>
      <c r="BT4" t="str">
        <f>HYPERLINK("https%3A%2F%2Fwww.webofscience.com%2Fwos%2Fwoscc%2Ffull-record%2FWOS:001028354700001","View Full Record in Web of Science")</f>
        <v>View Full Record in Web of Science</v>
      </c>
      <c r="BW4" s="6" t="s">
        <v>149</v>
      </c>
      <c r="BX4" s="7" t="s">
        <v>175</v>
      </c>
      <c r="BY4" s="7" t="s">
        <v>151</v>
      </c>
      <c r="CA4" s="7" t="s">
        <v>176</v>
      </c>
      <c r="CB4" s="7" t="s">
        <v>122</v>
      </c>
      <c r="CC4" s="8" t="s">
        <v>123</v>
      </c>
      <c r="CD4" s="8" t="s">
        <v>124</v>
      </c>
      <c r="CE4" s="8" t="s">
        <v>118</v>
      </c>
      <c r="CF4" s="8" t="s">
        <v>177</v>
      </c>
    </row>
    <row r="5" spans="1:85" ht="135">
      <c r="A5" t="s">
        <v>83</v>
      </c>
      <c r="B5" t="s">
        <v>178</v>
      </c>
      <c r="C5" t="s">
        <v>85</v>
      </c>
      <c r="D5" t="s">
        <v>85</v>
      </c>
      <c r="E5" t="s">
        <v>85</v>
      </c>
      <c r="F5" t="s">
        <v>179</v>
      </c>
      <c r="G5" t="s">
        <v>85</v>
      </c>
      <c r="H5" t="s">
        <v>85</v>
      </c>
      <c r="I5" s="9" t="s">
        <v>180</v>
      </c>
      <c r="J5" t="s">
        <v>181</v>
      </c>
      <c r="K5" t="s">
        <v>85</v>
      </c>
      <c r="L5" t="s">
        <v>85</v>
      </c>
      <c r="M5" t="s">
        <v>89</v>
      </c>
      <c r="N5" t="s">
        <v>90</v>
      </c>
      <c r="O5" t="s">
        <v>85</v>
      </c>
      <c r="P5" t="s">
        <v>85</v>
      </c>
      <c r="Q5" t="s">
        <v>85</v>
      </c>
      <c r="R5" t="s">
        <v>85</v>
      </c>
      <c r="S5" t="s">
        <v>85</v>
      </c>
      <c r="T5" t="s">
        <v>182</v>
      </c>
      <c r="U5" t="s">
        <v>183</v>
      </c>
      <c r="V5" s="5" t="s">
        <v>184</v>
      </c>
      <c r="W5" t="s">
        <v>185</v>
      </c>
      <c r="X5" t="s">
        <v>186</v>
      </c>
      <c r="Y5" t="s">
        <v>187</v>
      </c>
      <c r="Z5" t="s">
        <v>188</v>
      </c>
      <c r="AA5" t="s">
        <v>85</v>
      </c>
      <c r="AB5" t="s">
        <v>189</v>
      </c>
      <c r="AC5" t="s">
        <v>190</v>
      </c>
      <c r="AD5" t="s">
        <v>191</v>
      </c>
      <c r="AE5" t="s">
        <v>192</v>
      </c>
      <c r="AF5" t="s">
        <v>85</v>
      </c>
      <c r="AG5">
        <v>66</v>
      </c>
      <c r="AH5">
        <v>0</v>
      </c>
      <c r="AI5">
        <v>0</v>
      </c>
      <c r="AJ5">
        <v>18</v>
      </c>
      <c r="AK5">
        <v>18</v>
      </c>
      <c r="AL5" t="s">
        <v>193</v>
      </c>
      <c r="AM5" t="s">
        <v>194</v>
      </c>
      <c r="AN5" t="s">
        <v>195</v>
      </c>
      <c r="AO5" t="s">
        <v>196</v>
      </c>
      <c r="AP5" t="s">
        <v>197</v>
      </c>
      <c r="AQ5" t="s">
        <v>85</v>
      </c>
      <c r="AR5" t="s">
        <v>198</v>
      </c>
      <c r="AS5" t="s">
        <v>199</v>
      </c>
      <c r="AT5" t="s">
        <v>200</v>
      </c>
      <c r="AU5" s="6">
        <v>2023</v>
      </c>
      <c r="AV5">
        <v>154</v>
      </c>
      <c r="AW5" t="s">
        <v>85</v>
      </c>
      <c r="AX5" t="s">
        <v>85</v>
      </c>
      <c r="AY5" t="s">
        <v>85</v>
      </c>
      <c r="AZ5" t="s">
        <v>85</v>
      </c>
      <c r="BA5" t="s">
        <v>85</v>
      </c>
      <c r="BB5" t="s">
        <v>85</v>
      </c>
      <c r="BC5" t="s">
        <v>85</v>
      </c>
      <c r="BD5">
        <v>110557</v>
      </c>
      <c r="BE5" t="s">
        <v>201</v>
      </c>
      <c r="BF5" t="str">
        <f>HYPERLINK("http://dx.doi.org/10.1016/j.ecolind.2023.110557","http://dx.doi.org/10.1016/j.ecolind.2023.110557")</f>
        <v>http://dx.doi.org/10.1016/j.ecolind.2023.110557</v>
      </c>
      <c r="BG5" t="s">
        <v>85</v>
      </c>
      <c r="BH5" t="s">
        <v>202</v>
      </c>
      <c r="BI5">
        <v>14</v>
      </c>
      <c r="BJ5" s="6" t="s">
        <v>203</v>
      </c>
      <c r="BK5" t="s">
        <v>112</v>
      </c>
      <c r="BL5" t="s">
        <v>204</v>
      </c>
      <c r="BM5" t="s">
        <v>205</v>
      </c>
      <c r="BN5" t="s">
        <v>85</v>
      </c>
      <c r="BO5" t="s">
        <v>206</v>
      </c>
      <c r="BP5" t="s">
        <v>85</v>
      </c>
      <c r="BQ5" t="s">
        <v>85</v>
      </c>
      <c r="BR5" t="s">
        <v>116</v>
      </c>
      <c r="BS5" t="s">
        <v>207</v>
      </c>
      <c r="BT5" t="str">
        <f>HYPERLINK("https%3A%2F%2Fwww.webofscience.com%2Fwos%2Fwoscc%2Ffull-record%2FWOS:001023037800001","View Full Record in Web of Science")</f>
        <v>View Full Record in Web of Science</v>
      </c>
      <c r="BW5" s="6" t="s">
        <v>118</v>
      </c>
      <c r="BX5" s="7" t="s">
        <v>208</v>
      </c>
      <c r="BY5" s="7" t="s">
        <v>209</v>
      </c>
      <c r="CA5" s="7" t="s">
        <v>210</v>
      </c>
      <c r="CB5" s="7" t="s">
        <v>122</v>
      </c>
      <c r="CC5" s="8" t="s">
        <v>123</v>
      </c>
      <c r="CD5" s="8" t="s">
        <v>124</v>
      </c>
      <c r="CE5" s="8" t="s">
        <v>211</v>
      </c>
      <c r="CF5" s="8" t="s">
        <v>154</v>
      </c>
    </row>
    <row r="6" spans="1:85" ht="180">
      <c r="A6" t="s">
        <v>83</v>
      </c>
      <c r="B6" t="s">
        <v>212</v>
      </c>
      <c r="C6" t="s">
        <v>85</v>
      </c>
      <c r="D6" t="s">
        <v>85</v>
      </c>
      <c r="E6" t="s">
        <v>85</v>
      </c>
      <c r="F6" t="s">
        <v>213</v>
      </c>
      <c r="G6" t="s">
        <v>85</v>
      </c>
      <c r="H6" t="s">
        <v>85</v>
      </c>
      <c r="I6" s="5" t="s">
        <v>214</v>
      </c>
      <c r="J6" t="s">
        <v>215</v>
      </c>
      <c r="K6" t="s">
        <v>85</v>
      </c>
      <c r="L6" t="s">
        <v>85</v>
      </c>
      <c r="M6" t="s">
        <v>89</v>
      </c>
      <c r="N6" t="s">
        <v>90</v>
      </c>
      <c r="O6" t="s">
        <v>85</v>
      </c>
      <c r="P6" t="s">
        <v>85</v>
      </c>
      <c r="Q6" t="s">
        <v>85</v>
      </c>
      <c r="R6" t="s">
        <v>85</v>
      </c>
      <c r="S6" t="s">
        <v>85</v>
      </c>
      <c r="T6" t="s">
        <v>216</v>
      </c>
      <c r="U6" t="s">
        <v>217</v>
      </c>
      <c r="V6" s="5" t="s">
        <v>218</v>
      </c>
      <c r="W6" t="s">
        <v>219</v>
      </c>
      <c r="X6" t="s">
        <v>220</v>
      </c>
      <c r="Y6" t="s">
        <v>221</v>
      </c>
      <c r="Z6" t="s">
        <v>222</v>
      </c>
      <c r="AA6" t="s">
        <v>223</v>
      </c>
      <c r="AB6" t="s">
        <v>224</v>
      </c>
      <c r="AC6" t="s">
        <v>85</v>
      </c>
      <c r="AD6" t="s">
        <v>85</v>
      </c>
      <c r="AE6" t="s">
        <v>85</v>
      </c>
      <c r="AF6" t="s">
        <v>85</v>
      </c>
      <c r="AG6">
        <v>52</v>
      </c>
      <c r="AH6">
        <v>0</v>
      </c>
      <c r="AI6">
        <v>0</v>
      </c>
      <c r="AJ6">
        <v>8</v>
      </c>
      <c r="AK6">
        <v>8</v>
      </c>
      <c r="AL6" t="s">
        <v>225</v>
      </c>
      <c r="AM6" t="s">
        <v>226</v>
      </c>
      <c r="AN6" t="s">
        <v>227</v>
      </c>
      <c r="AO6" t="s">
        <v>228</v>
      </c>
      <c r="AP6" t="s">
        <v>85</v>
      </c>
      <c r="AQ6" t="s">
        <v>85</v>
      </c>
      <c r="AR6" t="s">
        <v>229</v>
      </c>
      <c r="AS6" t="s">
        <v>230</v>
      </c>
      <c r="AT6" t="s">
        <v>231</v>
      </c>
      <c r="AU6" s="6">
        <v>2023</v>
      </c>
      <c r="AV6">
        <v>14</v>
      </c>
      <c r="AW6" t="s">
        <v>85</v>
      </c>
      <c r="AX6" t="s">
        <v>85</v>
      </c>
      <c r="AY6" t="s">
        <v>85</v>
      </c>
      <c r="AZ6" t="s">
        <v>85</v>
      </c>
      <c r="BA6" t="s">
        <v>85</v>
      </c>
      <c r="BB6" t="s">
        <v>85</v>
      </c>
      <c r="BC6" t="s">
        <v>85</v>
      </c>
      <c r="BD6">
        <v>1176202</v>
      </c>
      <c r="BE6" t="s">
        <v>232</v>
      </c>
      <c r="BF6" t="str">
        <f>HYPERLINK("http://dx.doi.org/10.3389/fpsyg.2023.1176202","http://dx.doi.org/10.3389/fpsyg.2023.1176202")</f>
        <v>http://dx.doi.org/10.3389/fpsyg.2023.1176202</v>
      </c>
      <c r="BG6" t="s">
        <v>85</v>
      </c>
      <c r="BH6" t="s">
        <v>85</v>
      </c>
      <c r="BI6">
        <v>10</v>
      </c>
      <c r="BJ6" s="6" t="s">
        <v>233</v>
      </c>
      <c r="BK6" t="s">
        <v>146</v>
      </c>
      <c r="BL6" t="s">
        <v>234</v>
      </c>
      <c r="BM6" t="s">
        <v>235</v>
      </c>
      <c r="BN6">
        <v>37342642</v>
      </c>
      <c r="BO6" t="s">
        <v>236</v>
      </c>
      <c r="BP6" t="s">
        <v>85</v>
      </c>
      <c r="BQ6" t="s">
        <v>85</v>
      </c>
      <c r="BR6" t="s">
        <v>116</v>
      </c>
      <c r="BS6" t="s">
        <v>237</v>
      </c>
      <c r="BT6" t="str">
        <f>HYPERLINK("https%3A%2F%2Fwww.webofscience.com%2Fwos%2Fwoscc%2Ffull-record%2FWOS:001008081000001","View Full Record in Web of Science")</f>
        <v>View Full Record in Web of Science</v>
      </c>
      <c r="BW6" s="6" t="s">
        <v>149</v>
      </c>
      <c r="BX6" s="7" t="s">
        <v>238</v>
      </c>
      <c r="BY6" s="7" t="s">
        <v>151</v>
      </c>
      <c r="CA6" s="7" t="s">
        <v>239</v>
      </c>
      <c r="CB6" s="7" t="s">
        <v>122</v>
      </c>
      <c r="CC6" s="8" t="s">
        <v>153</v>
      </c>
      <c r="CD6" s="8" t="s">
        <v>240</v>
      </c>
      <c r="CE6" s="8" t="s">
        <v>211</v>
      </c>
      <c r="CF6" s="8" t="s">
        <v>241</v>
      </c>
    </row>
    <row r="7" spans="1:85" ht="195">
      <c r="A7" t="s">
        <v>83</v>
      </c>
      <c r="B7" t="s">
        <v>242</v>
      </c>
      <c r="C7" t="s">
        <v>85</v>
      </c>
      <c r="D7" t="s">
        <v>85</v>
      </c>
      <c r="E7" t="s">
        <v>85</v>
      </c>
      <c r="F7" t="s">
        <v>243</v>
      </c>
      <c r="G7" t="s">
        <v>85</v>
      </c>
      <c r="H7" t="s">
        <v>85</v>
      </c>
      <c r="I7" s="5" t="s">
        <v>244</v>
      </c>
      <c r="J7" t="s">
        <v>129</v>
      </c>
      <c r="K7" t="s">
        <v>85</v>
      </c>
      <c r="L7" t="s">
        <v>85</v>
      </c>
      <c r="M7" t="s">
        <v>89</v>
      </c>
      <c r="N7" t="s">
        <v>90</v>
      </c>
      <c r="O7" t="s">
        <v>85</v>
      </c>
      <c r="P7" t="s">
        <v>85</v>
      </c>
      <c r="Q7" t="s">
        <v>85</v>
      </c>
      <c r="R7" t="s">
        <v>85</v>
      </c>
      <c r="S7" t="s">
        <v>85</v>
      </c>
      <c r="T7" t="s">
        <v>245</v>
      </c>
      <c r="U7" t="s">
        <v>246</v>
      </c>
      <c r="V7" s="5" t="s">
        <v>247</v>
      </c>
      <c r="W7" t="s">
        <v>248</v>
      </c>
      <c r="X7" t="s">
        <v>249</v>
      </c>
      <c r="Y7" t="s">
        <v>250</v>
      </c>
      <c r="Z7" t="s">
        <v>251</v>
      </c>
      <c r="AA7" t="s">
        <v>85</v>
      </c>
      <c r="AB7" t="s">
        <v>85</v>
      </c>
      <c r="AC7" t="s">
        <v>85</v>
      </c>
      <c r="AD7" t="s">
        <v>85</v>
      </c>
      <c r="AE7" t="s">
        <v>85</v>
      </c>
      <c r="AF7" t="s">
        <v>85</v>
      </c>
      <c r="AG7">
        <v>80</v>
      </c>
      <c r="AH7">
        <v>0</v>
      </c>
      <c r="AI7">
        <v>0</v>
      </c>
      <c r="AJ7">
        <v>0</v>
      </c>
      <c r="AK7">
        <v>0</v>
      </c>
      <c r="AL7" t="s">
        <v>137</v>
      </c>
      <c r="AM7" t="s">
        <v>138</v>
      </c>
      <c r="AN7" t="s">
        <v>139</v>
      </c>
      <c r="AO7" t="s">
        <v>85</v>
      </c>
      <c r="AP7" t="s">
        <v>140</v>
      </c>
      <c r="AQ7" t="s">
        <v>85</v>
      </c>
      <c r="AR7" t="s">
        <v>141</v>
      </c>
      <c r="AS7" t="s">
        <v>142</v>
      </c>
      <c r="AT7" t="s">
        <v>252</v>
      </c>
      <c r="AU7" s="6">
        <v>2023</v>
      </c>
      <c r="AV7">
        <v>12</v>
      </c>
      <c r="AW7">
        <v>6</v>
      </c>
      <c r="AX7" t="s">
        <v>85</v>
      </c>
      <c r="AY7" t="s">
        <v>85</v>
      </c>
      <c r="AZ7" t="s">
        <v>85</v>
      </c>
      <c r="BA7" t="s">
        <v>85</v>
      </c>
      <c r="BB7" t="s">
        <v>85</v>
      </c>
      <c r="BC7" t="s">
        <v>85</v>
      </c>
      <c r="BD7">
        <v>1137</v>
      </c>
      <c r="BE7" t="s">
        <v>253</v>
      </c>
      <c r="BF7" t="str">
        <f>HYPERLINK("http://dx.doi.org/10.3390/land12061137","http://dx.doi.org/10.3390/land12061137")</f>
        <v>http://dx.doi.org/10.3390/land12061137</v>
      </c>
      <c r="BG7" t="s">
        <v>85</v>
      </c>
      <c r="BH7" t="s">
        <v>85</v>
      </c>
      <c r="BI7">
        <v>39</v>
      </c>
      <c r="BJ7" s="6" t="s">
        <v>145</v>
      </c>
      <c r="BK7" t="s">
        <v>146</v>
      </c>
      <c r="BL7" t="s">
        <v>113</v>
      </c>
      <c r="BM7" t="s">
        <v>254</v>
      </c>
      <c r="BN7" t="s">
        <v>85</v>
      </c>
      <c r="BO7" t="s">
        <v>236</v>
      </c>
      <c r="BP7" t="s">
        <v>85</v>
      </c>
      <c r="BQ7" t="s">
        <v>85</v>
      </c>
      <c r="BR7" t="s">
        <v>116</v>
      </c>
      <c r="BS7" t="s">
        <v>255</v>
      </c>
      <c r="BT7" t="str">
        <f>HYPERLINK("https%3A%2F%2Fwww.webofscience.com%2Fwos%2Fwoscc%2Ffull-record%2FWOS:001017315100001","View Full Record in Web of Science")</f>
        <v>View Full Record in Web of Science</v>
      </c>
      <c r="BW7" s="6" t="s">
        <v>118</v>
      </c>
      <c r="BX7" s="7" t="s">
        <v>256</v>
      </c>
      <c r="BY7" s="10" t="s">
        <v>257</v>
      </c>
      <c r="CA7" s="7" t="s">
        <v>258</v>
      </c>
      <c r="CB7" s="7" t="s">
        <v>122</v>
      </c>
      <c r="CC7" s="8" t="s">
        <v>123</v>
      </c>
      <c r="CD7" s="8" t="s">
        <v>259</v>
      </c>
      <c r="CE7" s="8" t="s">
        <v>118</v>
      </c>
      <c r="CF7" s="8" t="s">
        <v>260</v>
      </c>
    </row>
    <row r="8" spans="1:85" ht="180">
      <c r="A8" t="s">
        <v>83</v>
      </c>
      <c r="B8" t="s">
        <v>261</v>
      </c>
      <c r="C8" t="s">
        <v>85</v>
      </c>
      <c r="D8" t="s">
        <v>85</v>
      </c>
      <c r="E8" t="s">
        <v>85</v>
      </c>
      <c r="F8" t="s">
        <v>262</v>
      </c>
      <c r="G8" t="s">
        <v>85</v>
      </c>
      <c r="H8" t="s">
        <v>85</v>
      </c>
      <c r="I8" s="5" t="s">
        <v>263</v>
      </c>
      <c r="J8" t="s">
        <v>264</v>
      </c>
      <c r="K8" t="s">
        <v>85</v>
      </c>
      <c r="L8" t="s">
        <v>85</v>
      </c>
      <c r="M8" t="s">
        <v>89</v>
      </c>
      <c r="N8" t="s">
        <v>90</v>
      </c>
      <c r="O8" t="s">
        <v>85</v>
      </c>
      <c r="P8" t="s">
        <v>85</v>
      </c>
      <c r="Q8" t="s">
        <v>85</v>
      </c>
      <c r="R8" t="s">
        <v>85</v>
      </c>
      <c r="S8" t="s">
        <v>85</v>
      </c>
      <c r="T8" t="s">
        <v>265</v>
      </c>
      <c r="U8" t="s">
        <v>266</v>
      </c>
      <c r="V8" s="5" t="s">
        <v>267</v>
      </c>
      <c r="W8" t="s">
        <v>268</v>
      </c>
      <c r="X8" t="s">
        <v>269</v>
      </c>
      <c r="Y8" t="s">
        <v>270</v>
      </c>
      <c r="Z8" t="s">
        <v>271</v>
      </c>
      <c r="AA8" t="s">
        <v>85</v>
      </c>
      <c r="AB8" t="s">
        <v>85</v>
      </c>
      <c r="AC8" t="s">
        <v>272</v>
      </c>
      <c r="AD8" t="s">
        <v>273</v>
      </c>
      <c r="AE8" t="s">
        <v>274</v>
      </c>
      <c r="AF8" t="s">
        <v>85</v>
      </c>
      <c r="AG8">
        <v>56</v>
      </c>
      <c r="AH8">
        <v>1</v>
      </c>
      <c r="AI8">
        <v>1</v>
      </c>
      <c r="AJ8">
        <v>5</v>
      </c>
      <c r="AK8">
        <v>5</v>
      </c>
      <c r="AL8" t="s">
        <v>275</v>
      </c>
      <c r="AM8" t="s">
        <v>276</v>
      </c>
      <c r="AN8" t="s">
        <v>277</v>
      </c>
      <c r="AO8" t="s">
        <v>278</v>
      </c>
      <c r="AP8" t="s">
        <v>279</v>
      </c>
      <c r="AQ8" t="s">
        <v>85</v>
      </c>
      <c r="AR8" t="s">
        <v>280</v>
      </c>
      <c r="AS8" t="s">
        <v>281</v>
      </c>
      <c r="AT8" t="s">
        <v>143</v>
      </c>
      <c r="AU8" s="6">
        <v>2023</v>
      </c>
      <c r="AV8">
        <v>85</v>
      </c>
      <c r="AW8" t="s">
        <v>85</v>
      </c>
      <c r="AX8" t="s">
        <v>85</v>
      </c>
      <c r="AY8" t="s">
        <v>85</v>
      </c>
      <c r="AZ8" t="s">
        <v>85</v>
      </c>
      <c r="BA8" t="s">
        <v>85</v>
      </c>
      <c r="BB8" t="s">
        <v>85</v>
      </c>
      <c r="BC8" t="s">
        <v>85</v>
      </c>
      <c r="BD8">
        <v>127977</v>
      </c>
      <c r="BE8" t="s">
        <v>282</v>
      </c>
      <c r="BF8" t="str">
        <f>HYPERLINK("http://dx.doi.org/10.1016/j.ufug.2023.127977","http://dx.doi.org/10.1016/j.ufug.2023.127977")</f>
        <v>http://dx.doi.org/10.1016/j.ufug.2023.127977</v>
      </c>
      <c r="BG8" t="s">
        <v>85</v>
      </c>
      <c r="BH8" t="s">
        <v>283</v>
      </c>
      <c r="BI8">
        <v>10</v>
      </c>
      <c r="BJ8" s="6" t="s">
        <v>284</v>
      </c>
      <c r="BK8" t="s">
        <v>171</v>
      </c>
      <c r="BL8" t="s">
        <v>285</v>
      </c>
      <c r="BM8" t="s">
        <v>286</v>
      </c>
      <c r="BN8" t="s">
        <v>85</v>
      </c>
      <c r="BO8" t="s">
        <v>206</v>
      </c>
      <c r="BP8" t="s">
        <v>85</v>
      </c>
      <c r="BQ8" t="s">
        <v>85</v>
      </c>
      <c r="BR8" t="s">
        <v>116</v>
      </c>
      <c r="BS8" t="s">
        <v>287</v>
      </c>
      <c r="BT8" t="str">
        <f>HYPERLINK("https%3A%2F%2Fwww.webofscience.com%2Fwos%2Fwoscc%2Ffull-record%2FWOS:001013925000001","View Full Record in Web of Science")</f>
        <v>View Full Record in Web of Science</v>
      </c>
      <c r="BW8" s="6" t="s">
        <v>118</v>
      </c>
      <c r="BX8" s="7" t="s">
        <v>288</v>
      </c>
      <c r="BY8" s="10" t="s">
        <v>289</v>
      </c>
      <c r="BZ8">
        <v>10</v>
      </c>
      <c r="CA8" s="7" t="s">
        <v>258</v>
      </c>
      <c r="CB8" s="7" t="s">
        <v>122</v>
      </c>
      <c r="CC8" s="8" t="s">
        <v>123</v>
      </c>
      <c r="CD8" s="8" t="s">
        <v>124</v>
      </c>
      <c r="CE8" s="8" t="s">
        <v>118</v>
      </c>
      <c r="CF8" s="8" t="s">
        <v>290</v>
      </c>
    </row>
    <row r="9" spans="1:85" ht="195">
      <c r="A9" t="s">
        <v>83</v>
      </c>
      <c r="B9" t="s">
        <v>291</v>
      </c>
      <c r="C9" t="s">
        <v>85</v>
      </c>
      <c r="D9" t="s">
        <v>85</v>
      </c>
      <c r="E9" t="s">
        <v>85</v>
      </c>
      <c r="F9" t="s">
        <v>292</v>
      </c>
      <c r="G9" t="s">
        <v>85</v>
      </c>
      <c r="H9" t="s">
        <v>85</v>
      </c>
      <c r="I9" s="5" t="s">
        <v>293</v>
      </c>
      <c r="J9" t="s">
        <v>158</v>
      </c>
      <c r="K9" t="s">
        <v>85</v>
      </c>
      <c r="L9" t="s">
        <v>85</v>
      </c>
      <c r="M9" t="s">
        <v>89</v>
      </c>
      <c r="N9" t="s">
        <v>90</v>
      </c>
      <c r="O9" t="s">
        <v>85</v>
      </c>
      <c r="P9" t="s">
        <v>85</v>
      </c>
      <c r="Q9" t="s">
        <v>85</v>
      </c>
      <c r="R9" t="s">
        <v>85</v>
      </c>
      <c r="S9" t="s">
        <v>85</v>
      </c>
      <c r="T9" t="s">
        <v>294</v>
      </c>
      <c r="U9" t="s">
        <v>295</v>
      </c>
      <c r="V9" s="5" t="s">
        <v>296</v>
      </c>
      <c r="W9" t="s">
        <v>297</v>
      </c>
      <c r="X9" t="s">
        <v>298</v>
      </c>
      <c r="Y9" t="s">
        <v>299</v>
      </c>
      <c r="Z9" t="s">
        <v>300</v>
      </c>
      <c r="AA9" t="s">
        <v>301</v>
      </c>
      <c r="AB9" t="s">
        <v>302</v>
      </c>
      <c r="AC9" t="s">
        <v>85</v>
      </c>
      <c r="AD9" t="s">
        <v>85</v>
      </c>
      <c r="AE9" t="s">
        <v>85</v>
      </c>
      <c r="AF9" t="s">
        <v>85</v>
      </c>
      <c r="AG9">
        <v>210</v>
      </c>
      <c r="AH9">
        <v>0</v>
      </c>
      <c r="AI9">
        <v>0</v>
      </c>
      <c r="AJ9">
        <v>7</v>
      </c>
      <c r="AK9">
        <v>7</v>
      </c>
      <c r="AL9" t="s">
        <v>137</v>
      </c>
      <c r="AM9" t="s">
        <v>138</v>
      </c>
      <c r="AN9" t="s">
        <v>139</v>
      </c>
      <c r="AO9" t="s">
        <v>85</v>
      </c>
      <c r="AP9" t="s">
        <v>166</v>
      </c>
      <c r="AQ9" t="s">
        <v>85</v>
      </c>
      <c r="AR9" t="s">
        <v>167</v>
      </c>
      <c r="AS9" t="s">
        <v>168</v>
      </c>
      <c r="AT9" t="s">
        <v>303</v>
      </c>
      <c r="AU9" s="6">
        <v>2023</v>
      </c>
      <c r="AV9">
        <v>15</v>
      </c>
      <c r="AW9">
        <v>11</v>
      </c>
      <c r="AX9" t="s">
        <v>85</v>
      </c>
      <c r="AY9" t="s">
        <v>85</v>
      </c>
      <c r="AZ9" t="s">
        <v>85</v>
      </c>
      <c r="BA9" t="s">
        <v>85</v>
      </c>
      <c r="BB9" t="s">
        <v>85</v>
      </c>
      <c r="BC9" t="s">
        <v>85</v>
      </c>
      <c r="BD9">
        <v>8831</v>
      </c>
      <c r="BE9" t="s">
        <v>304</v>
      </c>
      <c r="BF9" t="str">
        <f>HYPERLINK("http://dx.doi.org/10.3390/su15118831","http://dx.doi.org/10.3390/su15118831")</f>
        <v>http://dx.doi.org/10.3390/su15118831</v>
      </c>
      <c r="BG9" t="s">
        <v>85</v>
      </c>
      <c r="BH9" t="s">
        <v>85</v>
      </c>
      <c r="BI9">
        <v>20</v>
      </c>
      <c r="BJ9" s="6" t="s">
        <v>170</v>
      </c>
      <c r="BK9" t="s">
        <v>171</v>
      </c>
      <c r="BL9" t="s">
        <v>172</v>
      </c>
      <c r="BM9" t="s">
        <v>305</v>
      </c>
      <c r="BN9" t="s">
        <v>85</v>
      </c>
      <c r="BO9" t="s">
        <v>115</v>
      </c>
      <c r="BP9" t="s">
        <v>85</v>
      </c>
      <c r="BQ9" t="s">
        <v>85</v>
      </c>
      <c r="BR9" t="s">
        <v>116</v>
      </c>
      <c r="BS9" t="s">
        <v>306</v>
      </c>
      <c r="BT9" t="str">
        <f>HYPERLINK("https%3A%2F%2Fwww.webofscience.com%2Fwos%2Fwoscc%2Ffull-record%2FWOS:001004638100001","View Full Record in Web of Science")</f>
        <v>View Full Record in Web of Science</v>
      </c>
      <c r="BW9" s="6" t="s">
        <v>149</v>
      </c>
      <c r="BX9" s="7" t="s">
        <v>288</v>
      </c>
      <c r="BY9" s="10" t="s">
        <v>151</v>
      </c>
      <c r="CA9" s="7" t="s">
        <v>258</v>
      </c>
      <c r="CB9" s="7" t="s">
        <v>122</v>
      </c>
      <c r="CC9" s="8" t="s">
        <v>123</v>
      </c>
      <c r="CD9" s="8" t="s">
        <v>124</v>
      </c>
      <c r="CE9" s="8" t="s">
        <v>307</v>
      </c>
      <c r="CF9" s="8" t="s">
        <v>308</v>
      </c>
    </row>
    <row r="10" spans="1:85" ht="165">
      <c r="A10" t="s">
        <v>83</v>
      </c>
      <c r="B10" t="s">
        <v>309</v>
      </c>
      <c r="C10" t="s">
        <v>85</v>
      </c>
      <c r="D10" t="s">
        <v>85</v>
      </c>
      <c r="E10" t="s">
        <v>85</v>
      </c>
      <c r="F10" t="s">
        <v>310</v>
      </c>
      <c r="G10" t="s">
        <v>85</v>
      </c>
      <c r="H10" t="s">
        <v>85</v>
      </c>
      <c r="I10" s="5" t="s">
        <v>311</v>
      </c>
      <c r="J10" t="s">
        <v>312</v>
      </c>
      <c r="K10" t="s">
        <v>85</v>
      </c>
      <c r="L10" t="s">
        <v>85</v>
      </c>
      <c r="M10" t="s">
        <v>89</v>
      </c>
      <c r="N10" t="s">
        <v>90</v>
      </c>
      <c r="O10" t="s">
        <v>85</v>
      </c>
      <c r="P10" t="s">
        <v>85</v>
      </c>
      <c r="Q10" t="s">
        <v>85</v>
      </c>
      <c r="R10" t="s">
        <v>85</v>
      </c>
      <c r="S10" t="s">
        <v>85</v>
      </c>
      <c r="T10" t="s">
        <v>313</v>
      </c>
      <c r="U10" t="s">
        <v>314</v>
      </c>
      <c r="V10" s="5" t="s">
        <v>315</v>
      </c>
      <c r="W10" t="s">
        <v>316</v>
      </c>
      <c r="X10" t="s">
        <v>317</v>
      </c>
      <c r="Y10" t="s">
        <v>318</v>
      </c>
      <c r="Z10" t="s">
        <v>319</v>
      </c>
      <c r="AA10" t="s">
        <v>320</v>
      </c>
      <c r="AB10" t="s">
        <v>321</v>
      </c>
      <c r="AC10" t="s">
        <v>322</v>
      </c>
      <c r="AD10" t="s">
        <v>323</v>
      </c>
      <c r="AE10" t="s">
        <v>324</v>
      </c>
      <c r="AF10" t="s">
        <v>85</v>
      </c>
      <c r="AG10">
        <v>59</v>
      </c>
      <c r="AH10">
        <v>0</v>
      </c>
      <c r="AI10">
        <v>0</v>
      </c>
      <c r="AJ10">
        <v>10</v>
      </c>
      <c r="AK10">
        <v>10</v>
      </c>
      <c r="AL10" t="s">
        <v>193</v>
      </c>
      <c r="AM10" t="s">
        <v>194</v>
      </c>
      <c r="AN10" t="s">
        <v>195</v>
      </c>
      <c r="AO10" t="s">
        <v>325</v>
      </c>
      <c r="AP10" t="s">
        <v>326</v>
      </c>
      <c r="AQ10" t="s">
        <v>85</v>
      </c>
      <c r="AR10" t="s">
        <v>327</v>
      </c>
      <c r="AS10" t="s">
        <v>328</v>
      </c>
      <c r="AT10" t="s">
        <v>329</v>
      </c>
      <c r="AU10" s="6">
        <v>2023</v>
      </c>
      <c r="AV10">
        <v>237</v>
      </c>
      <c r="AW10" t="s">
        <v>85</v>
      </c>
      <c r="AX10" t="s">
        <v>85</v>
      </c>
      <c r="AY10" t="s">
        <v>85</v>
      </c>
      <c r="AZ10" t="s">
        <v>85</v>
      </c>
      <c r="BA10" t="s">
        <v>85</v>
      </c>
      <c r="BB10" t="s">
        <v>85</v>
      </c>
      <c r="BC10" t="s">
        <v>85</v>
      </c>
      <c r="BD10">
        <v>104807</v>
      </c>
      <c r="BE10" t="s">
        <v>330</v>
      </c>
      <c r="BF10" t="str">
        <f>HYPERLINK("http://dx.doi.org/10.1016/j.landurbplan.2023.104807","http://dx.doi.org/10.1016/j.landurbplan.2023.104807")</f>
        <v>http://dx.doi.org/10.1016/j.landurbplan.2023.104807</v>
      </c>
      <c r="BG10" t="s">
        <v>85</v>
      </c>
      <c r="BH10" t="s">
        <v>283</v>
      </c>
      <c r="BI10">
        <v>10</v>
      </c>
      <c r="BJ10" s="6" t="s">
        <v>331</v>
      </c>
      <c r="BK10" t="s">
        <v>171</v>
      </c>
      <c r="BL10" t="s">
        <v>332</v>
      </c>
      <c r="BM10" t="s">
        <v>333</v>
      </c>
      <c r="BN10" t="s">
        <v>85</v>
      </c>
      <c r="BO10" t="s">
        <v>85</v>
      </c>
      <c r="BP10" t="s">
        <v>85</v>
      </c>
      <c r="BQ10" t="s">
        <v>85</v>
      </c>
      <c r="BR10" t="s">
        <v>116</v>
      </c>
      <c r="BS10" t="s">
        <v>334</v>
      </c>
      <c r="BT10" t="str">
        <f>HYPERLINK("https%3A%2F%2Fwww.webofscience.com%2Fwos%2Fwoscc%2Ffull-record%2FWOS:001006801800001","View Full Record in Web of Science")</f>
        <v>View Full Record in Web of Science</v>
      </c>
      <c r="BW10" s="6" t="s">
        <v>149</v>
      </c>
      <c r="BX10" s="7" t="s">
        <v>335</v>
      </c>
      <c r="BY10" s="10" t="s">
        <v>151</v>
      </c>
      <c r="CA10" s="7" t="s">
        <v>336</v>
      </c>
      <c r="CB10" s="7" t="s">
        <v>122</v>
      </c>
      <c r="CC10" s="8" t="s">
        <v>123</v>
      </c>
      <c r="CD10" s="8" t="s">
        <v>124</v>
      </c>
      <c r="CE10" s="8" t="s">
        <v>211</v>
      </c>
      <c r="CF10" s="8" t="s">
        <v>154</v>
      </c>
    </row>
    <row r="11" spans="1:85" ht="270">
      <c r="A11" t="s">
        <v>83</v>
      </c>
      <c r="B11" t="s">
        <v>337</v>
      </c>
      <c r="C11" t="s">
        <v>85</v>
      </c>
      <c r="D11" t="s">
        <v>85</v>
      </c>
      <c r="E11" t="s">
        <v>85</v>
      </c>
      <c r="F11" t="s">
        <v>338</v>
      </c>
      <c r="G11" t="s">
        <v>85</v>
      </c>
      <c r="H11" t="s">
        <v>85</v>
      </c>
      <c r="I11" s="5" t="s">
        <v>339</v>
      </c>
      <c r="J11" t="s">
        <v>340</v>
      </c>
      <c r="K11" t="s">
        <v>85</v>
      </c>
      <c r="L11" t="s">
        <v>85</v>
      </c>
      <c r="M11" t="s">
        <v>89</v>
      </c>
      <c r="N11" t="s">
        <v>90</v>
      </c>
      <c r="O11" t="s">
        <v>85</v>
      </c>
      <c r="P11" t="s">
        <v>85</v>
      </c>
      <c r="Q11" t="s">
        <v>85</v>
      </c>
      <c r="R11" t="s">
        <v>85</v>
      </c>
      <c r="S11" t="s">
        <v>85</v>
      </c>
      <c r="T11" t="s">
        <v>341</v>
      </c>
      <c r="U11" t="s">
        <v>342</v>
      </c>
      <c r="V11" s="5" t="s">
        <v>343</v>
      </c>
      <c r="W11" t="s">
        <v>344</v>
      </c>
      <c r="X11" t="s">
        <v>345</v>
      </c>
      <c r="Y11" t="s">
        <v>346</v>
      </c>
      <c r="Z11" t="s">
        <v>347</v>
      </c>
      <c r="AA11" t="s">
        <v>85</v>
      </c>
      <c r="AB11" t="s">
        <v>348</v>
      </c>
      <c r="AC11" t="s">
        <v>349</v>
      </c>
      <c r="AD11" t="s">
        <v>350</v>
      </c>
      <c r="AE11" t="s">
        <v>351</v>
      </c>
      <c r="AF11" t="s">
        <v>85</v>
      </c>
      <c r="AG11">
        <v>72</v>
      </c>
      <c r="AH11">
        <v>0</v>
      </c>
      <c r="AI11">
        <v>0</v>
      </c>
      <c r="AJ11">
        <v>9</v>
      </c>
      <c r="AK11">
        <v>9</v>
      </c>
      <c r="AL11" t="s">
        <v>352</v>
      </c>
      <c r="AM11" t="s">
        <v>353</v>
      </c>
      <c r="AN11" t="s">
        <v>354</v>
      </c>
      <c r="AO11" t="s">
        <v>355</v>
      </c>
      <c r="AP11" t="s">
        <v>356</v>
      </c>
      <c r="AQ11" t="s">
        <v>85</v>
      </c>
      <c r="AR11" t="s">
        <v>357</v>
      </c>
      <c r="AS11" t="s">
        <v>358</v>
      </c>
      <c r="AT11" t="s">
        <v>108</v>
      </c>
      <c r="AU11" s="6">
        <v>2023</v>
      </c>
      <c r="AV11">
        <v>26</v>
      </c>
      <c r="AW11">
        <v>4</v>
      </c>
      <c r="AX11" t="s">
        <v>85</v>
      </c>
      <c r="AY11" t="s">
        <v>85</v>
      </c>
      <c r="AZ11" t="s">
        <v>85</v>
      </c>
      <c r="BA11" t="s">
        <v>85</v>
      </c>
      <c r="BB11">
        <v>1679</v>
      </c>
      <c r="BC11">
        <v>1691</v>
      </c>
      <c r="BD11" t="s">
        <v>85</v>
      </c>
      <c r="BE11" t="s">
        <v>359</v>
      </c>
      <c r="BF11" t="str">
        <f>HYPERLINK("http://dx.doi.org/10.1111/hex.13773","http://dx.doi.org/10.1111/hex.13773")</f>
        <v>http://dx.doi.org/10.1111/hex.13773</v>
      </c>
      <c r="BG11" t="s">
        <v>85</v>
      </c>
      <c r="BH11" t="s">
        <v>283</v>
      </c>
      <c r="BI11">
        <v>13</v>
      </c>
      <c r="BJ11" s="6" t="s">
        <v>360</v>
      </c>
      <c r="BK11" t="s">
        <v>171</v>
      </c>
      <c r="BL11" t="s">
        <v>361</v>
      </c>
      <c r="BM11" t="s">
        <v>362</v>
      </c>
      <c r="BN11">
        <v>37128668</v>
      </c>
      <c r="BO11" t="s">
        <v>363</v>
      </c>
      <c r="BP11" t="s">
        <v>85</v>
      </c>
      <c r="BQ11" t="s">
        <v>85</v>
      </c>
      <c r="BR11" t="s">
        <v>116</v>
      </c>
      <c r="BS11" t="s">
        <v>364</v>
      </c>
      <c r="BT11" t="str">
        <f>HYPERLINK("https%3A%2F%2Fwww.webofscience.com%2Fwos%2Fwoscc%2Ffull-record%2FWOS:000979782300001","View Full Record in Web of Science")</f>
        <v>View Full Record in Web of Science</v>
      </c>
      <c r="BW11" s="6" t="s">
        <v>365</v>
      </c>
      <c r="BX11" s="7" t="s">
        <v>366</v>
      </c>
      <c r="BY11" s="10" t="s">
        <v>151</v>
      </c>
      <c r="CA11" s="7" t="s">
        <v>367</v>
      </c>
      <c r="CB11" s="7" t="s">
        <v>122</v>
      </c>
      <c r="CC11" s="8" t="s">
        <v>123</v>
      </c>
      <c r="CD11" s="7" t="s">
        <v>368</v>
      </c>
      <c r="CE11" s="8" t="s">
        <v>118</v>
      </c>
      <c r="CF11" s="8" t="s">
        <v>369</v>
      </c>
    </row>
    <row r="12" spans="1:85" ht="195">
      <c r="A12" t="s">
        <v>83</v>
      </c>
      <c r="B12" t="s">
        <v>370</v>
      </c>
      <c r="C12" t="s">
        <v>85</v>
      </c>
      <c r="D12" t="s">
        <v>85</v>
      </c>
      <c r="E12" t="s">
        <v>85</v>
      </c>
      <c r="F12" t="s">
        <v>371</v>
      </c>
      <c r="G12" t="s">
        <v>85</v>
      </c>
      <c r="H12" t="s">
        <v>85</v>
      </c>
      <c r="I12" s="5" t="s">
        <v>372</v>
      </c>
      <c r="J12" t="s">
        <v>158</v>
      </c>
      <c r="K12" t="s">
        <v>85</v>
      </c>
      <c r="L12" t="s">
        <v>85</v>
      </c>
      <c r="M12" t="s">
        <v>89</v>
      </c>
      <c r="N12" t="s">
        <v>90</v>
      </c>
      <c r="O12" t="s">
        <v>85</v>
      </c>
      <c r="P12" t="s">
        <v>85</v>
      </c>
      <c r="Q12" t="s">
        <v>85</v>
      </c>
      <c r="R12" t="s">
        <v>85</v>
      </c>
      <c r="S12" t="s">
        <v>85</v>
      </c>
      <c r="T12" t="s">
        <v>373</v>
      </c>
      <c r="U12" t="s">
        <v>374</v>
      </c>
      <c r="V12" s="5" t="s">
        <v>375</v>
      </c>
      <c r="W12" t="s">
        <v>376</v>
      </c>
      <c r="X12" t="s">
        <v>377</v>
      </c>
      <c r="Y12" t="s">
        <v>378</v>
      </c>
      <c r="Z12" t="s">
        <v>379</v>
      </c>
      <c r="AA12" t="s">
        <v>85</v>
      </c>
      <c r="AB12" t="s">
        <v>85</v>
      </c>
      <c r="AC12" t="s">
        <v>380</v>
      </c>
      <c r="AD12" t="s">
        <v>381</v>
      </c>
      <c r="AE12" t="s">
        <v>382</v>
      </c>
      <c r="AF12" t="s">
        <v>85</v>
      </c>
      <c r="AG12">
        <v>82</v>
      </c>
      <c r="AH12">
        <v>1</v>
      </c>
      <c r="AI12">
        <v>1</v>
      </c>
      <c r="AJ12">
        <v>7</v>
      </c>
      <c r="AK12">
        <v>7</v>
      </c>
      <c r="AL12" t="s">
        <v>137</v>
      </c>
      <c r="AM12" t="s">
        <v>138</v>
      </c>
      <c r="AN12" t="s">
        <v>139</v>
      </c>
      <c r="AO12" t="s">
        <v>85</v>
      </c>
      <c r="AP12" t="s">
        <v>166</v>
      </c>
      <c r="AQ12" t="s">
        <v>85</v>
      </c>
      <c r="AR12" t="s">
        <v>167</v>
      </c>
      <c r="AS12" t="s">
        <v>168</v>
      </c>
      <c r="AT12" t="s">
        <v>383</v>
      </c>
      <c r="AU12" s="6">
        <v>2023</v>
      </c>
      <c r="AV12">
        <v>15</v>
      </c>
      <c r="AW12">
        <v>9</v>
      </c>
      <c r="AX12" t="s">
        <v>85</v>
      </c>
      <c r="AY12" t="s">
        <v>85</v>
      </c>
      <c r="AZ12" t="s">
        <v>85</v>
      </c>
      <c r="BA12" t="s">
        <v>85</v>
      </c>
      <c r="BB12" t="s">
        <v>85</v>
      </c>
      <c r="BC12" t="s">
        <v>85</v>
      </c>
      <c r="BD12">
        <v>7392</v>
      </c>
      <c r="BE12" t="s">
        <v>384</v>
      </c>
      <c r="BF12" t="str">
        <f>HYPERLINK("http://dx.doi.org/10.3390/su15097392","http://dx.doi.org/10.3390/su15097392")</f>
        <v>http://dx.doi.org/10.3390/su15097392</v>
      </c>
      <c r="BG12" t="s">
        <v>85</v>
      </c>
      <c r="BH12" t="s">
        <v>85</v>
      </c>
      <c r="BI12">
        <v>30</v>
      </c>
      <c r="BJ12" s="6" t="s">
        <v>170</v>
      </c>
      <c r="BK12" t="s">
        <v>171</v>
      </c>
      <c r="BL12" t="s">
        <v>172</v>
      </c>
      <c r="BM12" t="s">
        <v>385</v>
      </c>
      <c r="BN12" t="s">
        <v>85</v>
      </c>
      <c r="BO12" t="s">
        <v>236</v>
      </c>
      <c r="BP12" t="s">
        <v>85</v>
      </c>
      <c r="BQ12" t="s">
        <v>85</v>
      </c>
      <c r="BR12" t="s">
        <v>116</v>
      </c>
      <c r="BS12" t="s">
        <v>386</v>
      </c>
      <c r="BT12" t="str">
        <f>HYPERLINK("https%3A%2F%2Fwww.webofscience.com%2Fwos%2Fwoscc%2Ffull-record%2FWOS:000987724700001","View Full Record in Web of Science")</f>
        <v>View Full Record in Web of Science</v>
      </c>
      <c r="BW12" s="6" t="s">
        <v>149</v>
      </c>
      <c r="BX12" s="7" t="s">
        <v>387</v>
      </c>
      <c r="BY12" s="10" t="s">
        <v>289</v>
      </c>
      <c r="BZ12" t="s">
        <v>388</v>
      </c>
      <c r="CA12" s="7" t="s">
        <v>389</v>
      </c>
      <c r="CB12" s="7" t="s">
        <v>122</v>
      </c>
      <c r="CC12" s="8" t="s">
        <v>123</v>
      </c>
      <c r="CD12" s="7" t="s">
        <v>124</v>
      </c>
      <c r="CE12" s="8" t="s">
        <v>118</v>
      </c>
      <c r="CF12" s="8" t="s">
        <v>390</v>
      </c>
    </row>
    <row r="13" spans="1:85" ht="165">
      <c r="A13" t="s">
        <v>83</v>
      </c>
      <c r="B13" t="s">
        <v>391</v>
      </c>
      <c r="C13" t="s">
        <v>85</v>
      </c>
      <c r="D13" t="s">
        <v>85</v>
      </c>
      <c r="E13" t="s">
        <v>85</v>
      </c>
      <c r="F13" t="s">
        <v>392</v>
      </c>
      <c r="G13" t="s">
        <v>85</v>
      </c>
      <c r="H13" t="s">
        <v>85</v>
      </c>
      <c r="I13" s="5" t="s">
        <v>393</v>
      </c>
      <c r="J13" t="s">
        <v>312</v>
      </c>
      <c r="K13" t="s">
        <v>85</v>
      </c>
      <c r="L13" t="s">
        <v>85</v>
      </c>
      <c r="M13" t="s">
        <v>89</v>
      </c>
      <c r="N13" t="s">
        <v>90</v>
      </c>
      <c r="O13" t="s">
        <v>85</v>
      </c>
      <c r="P13" t="s">
        <v>85</v>
      </c>
      <c r="Q13" t="s">
        <v>85</v>
      </c>
      <c r="R13" t="s">
        <v>85</v>
      </c>
      <c r="S13" t="s">
        <v>85</v>
      </c>
      <c r="T13" t="s">
        <v>394</v>
      </c>
      <c r="U13" t="s">
        <v>395</v>
      </c>
      <c r="V13" s="5" t="s">
        <v>396</v>
      </c>
      <c r="W13" t="s">
        <v>397</v>
      </c>
      <c r="X13" t="s">
        <v>398</v>
      </c>
      <c r="Y13" t="s">
        <v>399</v>
      </c>
      <c r="Z13" t="s">
        <v>400</v>
      </c>
      <c r="AA13" t="s">
        <v>85</v>
      </c>
      <c r="AB13" t="s">
        <v>401</v>
      </c>
      <c r="AC13" t="s">
        <v>85</v>
      </c>
      <c r="AD13" t="s">
        <v>85</v>
      </c>
      <c r="AE13" t="s">
        <v>85</v>
      </c>
      <c r="AF13" t="s">
        <v>85</v>
      </c>
      <c r="AG13">
        <v>88</v>
      </c>
      <c r="AH13">
        <v>0</v>
      </c>
      <c r="AI13">
        <v>0</v>
      </c>
      <c r="AJ13">
        <v>5</v>
      </c>
      <c r="AK13">
        <v>5</v>
      </c>
      <c r="AL13" t="s">
        <v>193</v>
      </c>
      <c r="AM13" t="s">
        <v>194</v>
      </c>
      <c r="AN13" t="s">
        <v>195</v>
      </c>
      <c r="AO13" t="s">
        <v>325</v>
      </c>
      <c r="AP13" t="s">
        <v>326</v>
      </c>
      <c r="AQ13" t="s">
        <v>85</v>
      </c>
      <c r="AR13" t="s">
        <v>327</v>
      </c>
      <c r="AS13" t="s">
        <v>328</v>
      </c>
      <c r="AT13" t="s">
        <v>143</v>
      </c>
      <c r="AU13" s="6">
        <v>2023</v>
      </c>
      <c r="AV13">
        <v>235</v>
      </c>
      <c r="AW13" t="s">
        <v>85</v>
      </c>
      <c r="AX13" t="s">
        <v>85</v>
      </c>
      <c r="AY13" t="s">
        <v>85</v>
      </c>
      <c r="AZ13" t="s">
        <v>85</v>
      </c>
      <c r="BA13" t="s">
        <v>85</v>
      </c>
      <c r="BB13" t="s">
        <v>85</v>
      </c>
      <c r="BC13" t="s">
        <v>85</v>
      </c>
      <c r="BD13">
        <v>104753</v>
      </c>
      <c r="BE13" t="s">
        <v>402</v>
      </c>
      <c r="BF13" t="str">
        <f>HYPERLINK("http://dx.doi.org/10.1016/j.landurbplan.2023.104753","http://dx.doi.org/10.1016/j.landurbplan.2023.104753")</f>
        <v>http://dx.doi.org/10.1016/j.landurbplan.2023.104753</v>
      </c>
      <c r="BG13" t="s">
        <v>85</v>
      </c>
      <c r="BH13" t="s">
        <v>403</v>
      </c>
      <c r="BI13">
        <v>11</v>
      </c>
      <c r="BJ13" s="6" t="s">
        <v>331</v>
      </c>
      <c r="BK13" t="s">
        <v>171</v>
      </c>
      <c r="BL13" t="s">
        <v>332</v>
      </c>
      <c r="BM13" t="s">
        <v>404</v>
      </c>
      <c r="BN13" t="s">
        <v>85</v>
      </c>
      <c r="BO13" t="s">
        <v>85</v>
      </c>
      <c r="BP13" t="s">
        <v>85</v>
      </c>
      <c r="BQ13" t="s">
        <v>85</v>
      </c>
      <c r="BR13" t="s">
        <v>116</v>
      </c>
      <c r="BS13" t="s">
        <v>405</v>
      </c>
      <c r="BT13" t="str">
        <f>HYPERLINK("https%3A%2F%2Fwww.webofscience.com%2Fwos%2Fwoscc%2Ffull-record%2FWOS:000965089200001","View Full Record in Web of Science")</f>
        <v>View Full Record in Web of Science</v>
      </c>
      <c r="BW13" s="6" t="s">
        <v>149</v>
      </c>
      <c r="BX13" s="10" t="s">
        <v>406</v>
      </c>
      <c r="BY13" s="10" t="s">
        <v>151</v>
      </c>
      <c r="CA13" s="7" t="s">
        <v>407</v>
      </c>
      <c r="CB13" s="7" t="s">
        <v>122</v>
      </c>
      <c r="CC13" s="8" t="s">
        <v>123</v>
      </c>
      <c r="CD13" s="7" t="s">
        <v>124</v>
      </c>
      <c r="CE13" s="7" t="s">
        <v>408</v>
      </c>
      <c r="CF13" s="8" t="s">
        <v>409</v>
      </c>
    </row>
    <row r="14" spans="1:85" ht="255">
      <c r="A14" t="s">
        <v>83</v>
      </c>
      <c r="B14" t="s">
        <v>410</v>
      </c>
      <c r="C14" t="s">
        <v>85</v>
      </c>
      <c r="D14" t="s">
        <v>85</v>
      </c>
      <c r="E14" t="s">
        <v>85</v>
      </c>
      <c r="F14" t="s">
        <v>411</v>
      </c>
      <c r="G14" t="s">
        <v>85</v>
      </c>
      <c r="H14" t="s">
        <v>85</v>
      </c>
      <c r="I14" s="5" t="s">
        <v>412</v>
      </c>
      <c r="J14" t="s">
        <v>312</v>
      </c>
      <c r="K14" t="s">
        <v>85</v>
      </c>
      <c r="L14" t="s">
        <v>85</v>
      </c>
      <c r="M14" t="s">
        <v>89</v>
      </c>
      <c r="N14" t="s">
        <v>90</v>
      </c>
      <c r="O14" t="s">
        <v>85</v>
      </c>
      <c r="P14" t="s">
        <v>85</v>
      </c>
      <c r="Q14" t="s">
        <v>85</v>
      </c>
      <c r="R14" t="s">
        <v>85</v>
      </c>
      <c r="S14" t="s">
        <v>85</v>
      </c>
      <c r="T14" t="s">
        <v>413</v>
      </c>
      <c r="U14" t="s">
        <v>414</v>
      </c>
      <c r="V14" s="5" t="s">
        <v>415</v>
      </c>
      <c r="W14" t="s">
        <v>416</v>
      </c>
      <c r="X14" t="s">
        <v>417</v>
      </c>
      <c r="Y14" t="s">
        <v>418</v>
      </c>
      <c r="Z14" t="s">
        <v>419</v>
      </c>
      <c r="AA14" t="s">
        <v>420</v>
      </c>
      <c r="AB14" t="s">
        <v>421</v>
      </c>
      <c r="AC14" t="s">
        <v>422</v>
      </c>
      <c r="AD14" t="s">
        <v>423</v>
      </c>
      <c r="AE14" t="s">
        <v>424</v>
      </c>
      <c r="AF14" t="s">
        <v>85</v>
      </c>
      <c r="AG14">
        <v>103</v>
      </c>
      <c r="AH14">
        <v>1</v>
      </c>
      <c r="AI14">
        <v>1</v>
      </c>
      <c r="AJ14">
        <v>39</v>
      </c>
      <c r="AK14">
        <v>39</v>
      </c>
      <c r="AL14" t="s">
        <v>193</v>
      </c>
      <c r="AM14" t="s">
        <v>194</v>
      </c>
      <c r="AN14" t="s">
        <v>195</v>
      </c>
      <c r="AO14" t="s">
        <v>325</v>
      </c>
      <c r="AP14" t="s">
        <v>326</v>
      </c>
      <c r="AQ14" t="s">
        <v>85</v>
      </c>
      <c r="AR14" t="s">
        <v>327</v>
      </c>
      <c r="AS14" t="s">
        <v>328</v>
      </c>
      <c r="AT14" t="s">
        <v>143</v>
      </c>
      <c r="AU14" s="6">
        <v>2023</v>
      </c>
      <c r="AV14">
        <v>235</v>
      </c>
      <c r="AW14" t="s">
        <v>85</v>
      </c>
      <c r="AX14" t="s">
        <v>85</v>
      </c>
      <c r="AY14" t="s">
        <v>85</v>
      </c>
      <c r="AZ14" t="s">
        <v>85</v>
      </c>
      <c r="BA14" t="s">
        <v>85</v>
      </c>
      <c r="BB14" t="s">
        <v>85</v>
      </c>
      <c r="BC14" t="s">
        <v>85</v>
      </c>
      <c r="BD14">
        <v>104739</v>
      </c>
      <c r="BE14" t="s">
        <v>425</v>
      </c>
      <c r="BF14" t="str">
        <f>HYPERLINK("http://dx.doi.org/10.1016/j.landurbplan.2023.104739","http://dx.doi.org/10.1016/j.landurbplan.2023.104739")</f>
        <v>http://dx.doi.org/10.1016/j.landurbplan.2023.104739</v>
      </c>
      <c r="BG14" t="s">
        <v>85</v>
      </c>
      <c r="BH14" t="s">
        <v>403</v>
      </c>
      <c r="BI14">
        <v>12</v>
      </c>
      <c r="BJ14" s="6" t="s">
        <v>331</v>
      </c>
      <c r="BK14" t="s">
        <v>171</v>
      </c>
      <c r="BL14" t="s">
        <v>332</v>
      </c>
      <c r="BM14" t="s">
        <v>426</v>
      </c>
      <c r="BN14" t="s">
        <v>85</v>
      </c>
      <c r="BO14" t="s">
        <v>427</v>
      </c>
      <c r="BP14" t="s">
        <v>85</v>
      </c>
      <c r="BQ14" t="s">
        <v>85</v>
      </c>
      <c r="BR14" t="s">
        <v>116</v>
      </c>
      <c r="BS14" t="s">
        <v>428</v>
      </c>
      <c r="BT14" t="str">
        <f>HYPERLINK("https%3A%2F%2Fwww.webofscience.com%2Fwos%2Fwoscc%2Ffull-record%2FWOS:000955921200001","View Full Record in Web of Science")</f>
        <v>View Full Record in Web of Science</v>
      </c>
      <c r="BW14" s="6" t="s">
        <v>149</v>
      </c>
      <c r="BX14" s="10" t="s">
        <v>429</v>
      </c>
      <c r="BY14" s="10" t="s">
        <v>430</v>
      </c>
      <c r="CA14" s="7" t="s">
        <v>431</v>
      </c>
      <c r="CB14" s="7" t="s">
        <v>122</v>
      </c>
      <c r="CC14" s="8" t="s">
        <v>123</v>
      </c>
      <c r="CD14" s="7" t="s">
        <v>432</v>
      </c>
      <c r="CE14" s="7" t="s">
        <v>211</v>
      </c>
      <c r="CF14" s="8" t="s">
        <v>433</v>
      </c>
    </row>
    <row r="15" spans="1:85" ht="120">
      <c r="A15" t="s">
        <v>83</v>
      </c>
      <c r="B15" t="s">
        <v>434</v>
      </c>
      <c r="C15" t="s">
        <v>85</v>
      </c>
      <c r="D15" t="s">
        <v>85</v>
      </c>
      <c r="E15" t="s">
        <v>85</v>
      </c>
      <c r="F15" t="s">
        <v>435</v>
      </c>
      <c r="G15" t="s">
        <v>85</v>
      </c>
      <c r="H15" t="s">
        <v>85</v>
      </c>
      <c r="I15" s="5" t="s">
        <v>436</v>
      </c>
      <c r="J15" t="s">
        <v>437</v>
      </c>
      <c r="K15" t="s">
        <v>85</v>
      </c>
      <c r="L15" t="s">
        <v>85</v>
      </c>
      <c r="M15" t="s">
        <v>89</v>
      </c>
      <c r="N15" t="s">
        <v>90</v>
      </c>
      <c r="O15" t="s">
        <v>85</v>
      </c>
      <c r="P15" t="s">
        <v>85</v>
      </c>
      <c r="Q15" t="s">
        <v>85</v>
      </c>
      <c r="R15" t="s">
        <v>85</v>
      </c>
      <c r="S15" t="s">
        <v>85</v>
      </c>
      <c r="T15" t="s">
        <v>85</v>
      </c>
      <c r="U15" t="s">
        <v>438</v>
      </c>
      <c r="V15" s="5" t="s">
        <v>439</v>
      </c>
      <c r="W15" t="s">
        <v>440</v>
      </c>
      <c r="X15" t="s">
        <v>441</v>
      </c>
      <c r="Y15" t="s">
        <v>442</v>
      </c>
      <c r="Z15" t="s">
        <v>443</v>
      </c>
      <c r="AA15" t="s">
        <v>85</v>
      </c>
      <c r="AB15" t="s">
        <v>444</v>
      </c>
      <c r="AC15" t="s">
        <v>445</v>
      </c>
      <c r="AD15" t="s">
        <v>446</v>
      </c>
      <c r="AE15" t="s">
        <v>447</v>
      </c>
      <c r="AF15" t="s">
        <v>85</v>
      </c>
      <c r="AG15">
        <v>81</v>
      </c>
      <c r="AH15">
        <v>2</v>
      </c>
      <c r="AI15">
        <v>2</v>
      </c>
      <c r="AJ15">
        <v>8</v>
      </c>
      <c r="AK15">
        <v>8</v>
      </c>
      <c r="AL15" t="s">
        <v>448</v>
      </c>
      <c r="AM15" t="s">
        <v>449</v>
      </c>
      <c r="AN15" t="s">
        <v>450</v>
      </c>
      <c r="AO15" t="s">
        <v>451</v>
      </c>
      <c r="AP15" t="s">
        <v>85</v>
      </c>
      <c r="AQ15" t="s">
        <v>85</v>
      </c>
      <c r="AR15" t="s">
        <v>452</v>
      </c>
      <c r="AS15" t="s">
        <v>453</v>
      </c>
      <c r="AT15" t="s">
        <v>454</v>
      </c>
      <c r="AU15" s="6">
        <v>2023</v>
      </c>
      <c r="AV15">
        <v>13</v>
      </c>
      <c r="AW15">
        <v>1</v>
      </c>
      <c r="AX15" t="s">
        <v>85</v>
      </c>
      <c r="AY15" t="s">
        <v>85</v>
      </c>
      <c r="AZ15" t="s">
        <v>85</v>
      </c>
      <c r="BA15" t="s">
        <v>85</v>
      </c>
      <c r="BB15" t="s">
        <v>85</v>
      </c>
      <c r="BC15" t="s">
        <v>85</v>
      </c>
      <c r="BD15" t="s">
        <v>85</v>
      </c>
      <c r="BE15" t="s">
        <v>455</v>
      </c>
      <c r="BF15" t="str">
        <f>HYPERLINK("http://dx.doi.org/10.1038/s41598-023-28544-w","http://dx.doi.org/10.1038/s41598-023-28544-w")</f>
        <v>http://dx.doi.org/10.1038/s41598-023-28544-w</v>
      </c>
      <c r="BG15" t="s">
        <v>85</v>
      </c>
      <c r="BH15" t="s">
        <v>85</v>
      </c>
      <c r="BI15">
        <v>19</v>
      </c>
      <c r="BJ15" s="6" t="s">
        <v>456</v>
      </c>
      <c r="BK15" t="s">
        <v>112</v>
      </c>
      <c r="BL15" t="s">
        <v>457</v>
      </c>
      <c r="BM15" t="s">
        <v>458</v>
      </c>
      <c r="BN15">
        <v>36878999</v>
      </c>
      <c r="BO15" t="s">
        <v>236</v>
      </c>
      <c r="BP15" t="s">
        <v>85</v>
      </c>
      <c r="BQ15" t="s">
        <v>85</v>
      </c>
      <c r="BR15" t="s">
        <v>116</v>
      </c>
      <c r="BS15" t="s">
        <v>459</v>
      </c>
      <c r="BT15" t="str">
        <f>HYPERLINK("https%3A%2F%2Fwww.webofscience.com%2Fwos%2Fwoscc%2Ffull-record%2FWOS:000989365600009","View Full Record in Web of Science")</f>
        <v>View Full Record in Web of Science</v>
      </c>
      <c r="BW15" s="6" t="s">
        <v>149</v>
      </c>
      <c r="BX15" s="7" t="s">
        <v>460</v>
      </c>
      <c r="BY15" s="10" t="s">
        <v>151</v>
      </c>
      <c r="CA15" s="7" t="s">
        <v>258</v>
      </c>
      <c r="CB15" s="7" t="s">
        <v>122</v>
      </c>
      <c r="CC15" s="8" t="s">
        <v>123</v>
      </c>
      <c r="CD15" s="7" t="s">
        <v>461</v>
      </c>
      <c r="CE15" s="7" t="s">
        <v>211</v>
      </c>
      <c r="CF15" s="8" t="s">
        <v>462</v>
      </c>
    </row>
    <row r="16" spans="1:85" ht="120">
      <c r="A16" t="s">
        <v>83</v>
      </c>
      <c r="B16" t="s">
        <v>463</v>
      </c>
      <c r="C16" t="s">
        <v>85</v>
      </c>
      <c r="D16" t="s">
        <v>85</v>
      </c>
      <c r="E16" t="s">
        <v>85</v>
      </c>
      <c r="F16" t="s">
        <v>464</v>
      </c>
      <c r="G16" t="s">
        <v>85</v>
      </c>
      <c r="H16" t="s">
        <v>85</v>
      </c>
      <c r="I16" s="5" t="s">
        <v>465</v>
      </c>
      <c r="J16" t="s">
        <v>466</v>
      </c>
      <c r="K16" t="s">
        <v>85</v>
      </c>
      <c r="L16" t="s">
        <v>85</v>
      </c>
      <c r="M16" t="s">
        <v>89</v>
      </c>
      <c r="N16" t="s">
        <v>90</v>
      </c>
      <c r="O16" t="s">
        <v>85</v>
      </c>
      <c r="P16" t="s">
        <v>85</v>
      </c>
      <c r="Q16" t="s">
        <v>85</v>
      </c>
      <c r="R16" t="s">
        <v>85</v>
      </c>
      <c r="S16" t="s">
        <v>85</v>
      </c>
      <c r="T16" t="s">
        <v>467</v>
      </c>
      <c r="U16" t="s">
        <v>468</v>
      </c>
      <c r="V16" s="5" t="s">
        <v>469</v>
      </c>
      <c r="W16" t="s">
        <v>470</v>
      </c>
      <c r="X16" t="s">
        <v>471</v>
      </c>
      <c r="Y16" t="s">
        <v>472</v>
      </c>
      <c r="Z16" t="s">
        <v>473</v>
      </c>
      <c r="AA16" t="s">
        <v>85</v>
      </c>
      <c r="AB16" t="s">
        <v>474</v>
      </c>
      <c r="AC16" t="s">
        <v>475</v>
      </c>
      <c r="AD16" t="s">
        <v>476</v>
      </c>
      <c r="AE16" t="s">
        <v>477</v>
      </c>
      <c r="AF16" t="s">
        <v>85</v>
      </c>
      <c r="AG16">
        <v>121</v>
      </c>
      <c r="AH16">
        <v>1</v>
      </c>
      <c r="AI16">
        <v>1</v>
      </c>
      <c r="AJ16">
        <v>14</v>
      </c>
      <c r="AK16">
        <v>14</v>
      </c>
      <c r="AL16" t="s">
        <v>478</v>
      </c>
      <c r="AM16" t="s">
        <v>479</v>
      </c>
      <c r="AN16" t="s">
        <v>480</v>
      </c>
      <c r="AO16" t="s">
        <v>481</v>
      </c>
      <c r="AP16" t="s">
        <v>482</v>
      </c>
      <c r="AQ16" t="s">
        <v>85</v>
      </c>
      <c r="AR16" t="s">
        <v>466</v>
      </c>
      <c r="AS16" t="s">
        <v>483</v>
      </c>
      <c r="AT16" t="s">
        <v>143</v>
      </c>
      <c r="AU16" s="6">
        <v>2023</v>
      </c>
      <c r="AV16">
        <v>850</v>
      </c>
      <c r="AW16" t="s">
        <v>484</v>
      </c>
      <c r="AX16" t="s">
        <v>85</v>
      </c>
      <c r="AY16" t="s">
        <v>85</v>
      </c>
      <c r="AZ16" t="s">
        <v>485</v>
      </c>
      <c r="BA16" t="s">
        <v>85</v>
      </c>
      <c r="BB16">
        <v>2963</v>
      </c>
      <c r="BC16">
        <v>2974</v>
      </c>
      <c r="BD16" t="s">
        <v>85</v>
      </c>
      <c r="BE16" t="s">
        <v>486</v>
      </c>
      <c r="BF16" t="str">
        <f>HYPERLINK("http://dx.doi.org/10.1007/s10750-023-05165-y","http://dx.doi.org/10.1007/s10750-023-05165-y")</f>
        <v>http://dx.doi.org/10.1007/s10750-023-05165-y</v>
      </c>
      <c r="BG16" t="s">
        <v>85</v>
      </c>
      <c r="BH16" t="s">
        <v>487</v>
      </c>
      <c r="BI16">
        <v>12</v>
      </c>
      <c r="BJ16" s="6" t="s">
        <v>488</v>
      </c>
      <c r="BK16" t="s">
        <v>112</v>
      </c>
      <c r="BL16" t="s">
        <v>488</v>
      </c>
      <c r="BM16" t="s">
        <v>489</v>
      </c>
      <c r="BN16" t="s">
        <v>85</v>
      </c>
      <c r="BO16" t="s">
        <v>85</v>
      </c>
      <c r="BP16" t="s">
        <v>85</v>
      </c>
      <c r="BQ16" t="s">
        <v>85</v>
      </c>
      <c r="BR16" t="s">
        <v>116</v>
      </c>
      <c r="BS16" t="s">
        <v>490</v>
      </c>
      <c r="BT16" t="str">
        <f>HYPERLINK("https%3A%2F%2Fwww.webofscience.com%2Fwos%2Fwoscc%2Ffull-record%2FWOS:000940254100001","View Full Record in Web of Science")</f>
        <v>View Full Record in Web of Science</v>
      </c>
      <c r="BW16" s="6" t="s">
        <v>491</v>
      </c>
      <c r="BX16" s="7" t="s">
        <v>492</v>
      </c>
      <c r="BY16" s="10" t="s">
        <v>151</v>
      </c>
      <c r="CA16" s="7" t="s">
        <v>493</v>
      </c>
      <c r="CB16" s="10" t="s">
        <v>494</v>
      </c>
      <c r="CC16" s="7" t="s">
        <v>495</v>
      </c>
      <c r="CD16" s="8"/>
      <c r="CE16" s="8"/>
      <c r="CF16" s="8" t="s">
        <v>260</v>
      </c>
    </row>
    <row r="17" spans="1:84" ht="330">
      <c r="A17" t="s">
        <v>83</v>
      </c>
      <c r="B17" t="s">
        <v>496</v>
      </c>
      <c r="C17" t="s">
        <v>85</v>
      </c>
      <c r="D17" t="s">
        <v>85</v>
      </c>
      <c r="E17" t="s">
        <v>85</v>
      </c>
      <c r="F17" t="s">
        <v>497</v>
      </c>
      <c r="G17" t="s">
        <v>85</v>
      </c>
      <c r="H17" t="s">
        <v>85</v>
      </c>
      <c r="I17" s="5" t="s">
        <v>498</v>
      </c>
      <c r="J17" t="s">
        <v>499</v>
      </c>
      <c r="K17" t="s">
        <v>85</v>
      </c>
      <c r="L17" t="s">
        <v>85</v>
      </c>
      <c r="M17" t="s">
        <v>89</v>
      </c>
      <c r="N17" t="s">
        <v>90</v>
      </c>
      <c r="O17" t="s">
        <v>85</v>
      </c>
      <c r="P17" t="s">
        <v>85</v>
      </c>
      <c r="Q17" t="s">
        <v>85</v>
      </c>
      <c r="R17" t="s">
        <v>85</v>
      </c>
      <c r="S17" t="s">
        <v>85</v>
      </c>
      <c r="T17" t="s">
        <v>500</v>
      </c>
      <c r="U17" t="s">
        <v>501</v>
      </c>
      <c r="V17" s="5" t="s">
        <v>502</v>
      </c>
      <c r="W17" t="s">
        <v>503</v>
      </c>
      <c r="X17" t="s">
        <v>504</v>
      </c>
      <c r="Y17" t="s">
        <v>505</v>
      </c>
      <c r="Z17" t="s">
        <v>506</v>
      </c>
      <c r="AA17" t="s">
        <v>507</v>
      </c>
      <c r="AB17" t="s">
        <v>508</v>
      </c>
      <c r="AC17" t="s">
        <v>85</v>
      </c>
      <c r="AD17" t="s">
        <v>85</v>
      </c>
      <c r="AE17" t="s">
        <v>85</v>
      </c>
      <c r="AF17" t="s">
        <v>85</v>
      </c>
      <c r="AG17">
        <v>79</v>
      </c>
      <c r="AH17">
        <v>0</v>
      </c>
      <c r="AI17">
        <v>0</v>
      </c>
      <c r="AJ17">
        <v>9</v>
      </c>
      <c r="AK17">
        <v>9</v>
      </c>
      <c r="AL17" t="s">
        <v>275</v>
      </c>
      <c r="AM17" t="s">
        <v>276</v>
      </c>
      <c r="AN17" t="s">
        <v>277</v>
      </c>
      <c r="AO17" t="s">
        <v>509</v>
      </c>
      <c r="AP17" t="s">
        <v>510</v>
      </c>
      <c r="AQ17" t="s">
        <v>85</v>
      </c>
      <c r="AR17" t="s">
        <v>511</v>
      </c>
      <c r="AS17" t="s">
        <v>512</v>
      </c>
      <c r="AT17" t="s">
        <v>513</v>
      </c>
      <c r="AU17" s="6">
        <v>2023</v>
      </c>
      <c r="AV17">
        <v>249</v>
      </c>
      <c r="AW17" t="s">
        <v>85</v>
      </c>
      <c r="AX17" t="s">
        <v>85</v>
      </c>
      <c r="AY17" t="s">
        <v>85</v>
      </c>
      <c r="AZ17" t="s">
        <v>85</v>
      </c>
      <c r="BA17" t="s">
        <v>85</v>
      </c>
      <c r="BB17" t="s">
        <v>85</v>
      </c>
      <c r="BC17" t="s">
        <v>85</v>
      </c>
      <c r="BD17">
        <v>114137</v>
      </c>
      <c r="BE17" t="s">
        <v>514</v>
      </c>
      <c r="BF17" t="str">
        <f>HYPERLINK("http://dx.doi.org/10.1016/j.ijheh.2023.114137","http://dx.doi.org/10.1016/j.ijheh.2023.114137")</f>
        <v>http://dx.doi.org/10.1016/j.ijheh.2023.114137</v>
      </c>
      <c r="BG17" t="s">
        <v>85</v>
      </c>
      <c r="BH17" t="s">
        <v>487</v>
      </c>
      <c r="BI17">
        <v>10</v>
      </c>
      <c r="BJ17" s="6" t="s">
        <v>515</v>
      </c>
      <c r="BK17" t="s">
        <v>112</v>
      </c>
      <c r="BL17" t="s">
        <v>515</v>
      </c>
      <c r="BM17" t="s">
        <v>516</v>
      </c>
      <c r="BN17">
        <v>36806046</v>
      </c>
      <c r="BO17" t="s">
        <v>85</v>
      </c>
      <c r="BP17" t="s">
        <v>85</v>
      </c>
      <c r="BQ17" t="s">
        <v>85</v>
      </c>
      <c r="BR17" t="s">
        <v>116</v>
      </c>
      <c r="BS17" t="s">
        <v>517</v>
      </c>
      <c r="BT17" t="str">
        <f>HYPERLINK("https%3A%2F%2Fwww.webofscience.com%2Fwos%2Fwoscc%2Ffull-record%2FWOS:000946300700001","View Full Record in Web of Science")</f>
        <v>View Full Record in Web of Science</v>
      </c>
      <c r="BW17" s="6" t="s">
        <v>518</v>
      </c>
      <c r="BX17" s="10" t="s">
        <v>519</v>
      </c>
      <c r="BY17" s="10" t="s">
        <v>289</v>
      </c>
      <c r="BZ17">
        <v>25</v>
      </c>
      <c r="CA17" s="10" t="s">
        <v>520</v>
      </c>
      <c r="CB17" s="7" t="s">
        <v>122</v>
      </c>
      <c r="CC17" s="7" t="s">
        <v>123</v>
      </c>
      <c r="CD17" s="7" t="s">
        <v>521</v>
      </c>
      <c r="CE17" s="7" t="s">
        <v>211</v>
      </c>
      <c r="CF17" s="8" t="s">
        <v>308</v>
      </c>
    </row>
    <row r="18" spans="1:84" ht="240">
      <c r="A18" t="s">
        <v>83</v>
      </c>
      <c r="B18" t="s">
        <v>522</v>
      </c>
      <c r="C18" t="s">
        <v>85</v>
      </c>
      <c r="D18" t="s">
        <v>85</v>
      </c>
      <c r="E18" t="s">
        <v>85</v>
      </c>
      <c r="F18" t="s">
        <v>523</v>
      </c>
      <c r="G18" t="s">
        <v>85</v>
      </c>
      <c r="H18" t="s">
        <v>85</v>
      </c>
      <c r="I18" s="5" t="s">
        <v>524</v>
      </c>
      <c r="J18" t="s">
        <v>525</v>
      </c>
      <c r="K18" t="s">
        <v>85</v>
      </c>
      <c r="L18" t="s">
        <v>85</v>
      </c>
      <c r="M18" t="s">
        <v>89</v>
      </c>
      <c r="N18" t="s">
        <v>90</v>
      </c>
      <c r="O18" t="s">
        <v>85</v>
      </c>
      <c r="P18" t="s">
        <v>85</v>
      </c>
      <c r="Q18" t="s">
        <v>85</v>
      </c>
      <c r="R18" t="s">
        <v>85</v>
      </c>
      <c r="S18" t="s">
        <v>85</v>
      </c>
      <c r="T18" t="s">
        <v>526</v>
      </c>
      <c r="U18" t="s">
        <v>85</v>
      </c>
      <c r="V18" s="5" t="s">
        <v>527</v>
      </c>
      <c r="W18" t="s">
        <v>528</v>
      </c>
      <c r="X18" t="s">
        <v>529</v>
      </c>
      <c r="Y18" t="s">
        <v>530</v>
      </c>
      <c r="Z18" t="s">
        <v>531</v>
      </c>
      <c r="AA18" t="s">
        <v>532</v>
      </c>
      <c r="AB18" t="s">
        <v>533</v>
      </c>
      <c r="AC18" t="s">
        <v>534</v>
      </c>
      <c r="AD18" t="s">
        <v>535</v>
      </c>
      <c r="AE18" t="s">
        <v>536</v>
      </c>
      <c r="AF18" t="s">
        <v>85</v>
      </c>
      <c r="AG18">
        <v>40</v>
      </c>
      <c r="AH18">
        <v>4</v>
      </c>
      <c r="AI18">
        <v>4</v>
      </c>
      <c r="AJ18">
        <v>0</v>
      </c>
      <c r="AK18">
        <v>0</v>
      </c>
      <c r="AL18" t="s">
        <v>537</v>
      </c>
      <c r="AM18" t="s">
        <v>538</v>
      </c>
      <c r="AN18" t="s">
        <v>539</v>
      </c>
      <c r="AO18" t="s">
        <v>540</v>
      </c>
      <c r="AP18" t="s">
        <v>541</v>
      </c>
      <c r="AQ18" t="s">
        <v>85</v>
      </c>
      <c r="AR18" t="s">
        <v>542</v>
      </c>
      <c r="AS18" t="s">
        <v>543</v>
      </c>
      <c r="AT18" t="s">
        <v>544</v>
      </c>
      <c r="AU18" s="6">
        <v>2023</v>
      </c>
      <c r="AV18">
        <v>32</v>
      </c>
      <c r="AW18">
        <v>1</v>
      </c>
      <c r="AX18" t="s">
        <v>85</v>
      </c>
      <c r="AY18" t="s">
        <v>85</v>
      </c>
      <c r="AZ18" t="s">
        <v>85</v>
      </c>
      <c r="BA18" t="s">
        <v>85</v>
      </c>
      <c r="BB18">
        <v>114</v>
      </c>
      <c r="BC18">
        <v>123</v>
      </c>
      <c r="BD18" t="s">
        <v>85</v>
      </c>
      <c r="BE18" t="s">
        <v>545</v>
      </c>
      <c r="BF18" t="str">
        <f>HYPERLINK("http://dx.doi.org/10.1016/j.hlc.2022.11.008","http://dx.doi.org/10.1016/j.hlc.2022.11.008")</f>
        <v>http://dx.doi.org/10.1016/j.hlc.2022.11.008</v>
      </c>
      <c r="BG18" t="s">
        <v>85</v>
      </c>
      <c r="BH18" t="s">
        <v>487</v>
      </c>
      <c r="BI18">
        <v>10</v>
      </c>
      <c r="BJ18" s="6" t="s">
        <v>546</v>
      </c>
      <c r="BK18" t="s">
        <v>112</v>
      </c>
      <c r="BL18" t="s">
        <v>547</v>
      </c>
      <c r="BM18" t="s">
        <v>548</v>
      </c>
      <c r="BN18">
        <v>36588036</v>
      </c>
      <c r="BO18" t="s">
        <v>549</v>
      </c>
      <c r="BP18" t="s">
        <v>85</v>
      </c>
      <c r="BQ18" t="s">
        <v>85</v>
      </c>
      <c r="BR18" t="s">
        <v>116</v>
      </c>
      <c r="BS18" t="s">
        <v>550</v>
      </c>
      <c r="BT18" t="str">
        <f>HYPERLINK("https%3A%2F%2Fwww.webofscience.com%2Fwos%2Fwoscc%2Ffull-record%2FWOS:001018931000001","View Full Record in Web of Science")</f>
        <v>View Full Record in Web of Science</v>
      </c>
      <c r="BW18" s="6" t="s">
        <v>149</v>
      </c>
      <c r="BX18" s="10" t="s">
        <v>551</v>
      </c>
      <c r="BY18" s="10" t="s">
        <v>151</v>
      </c>
      <c r="CA18" s="10" t="s">
        <v>552</v>
      </c>
      <c r="CB18" s="7" t="s">
        <v>122</v>
      </c>
      <c r="CC18" t="s">
        <v>123</v>
      </c>
      <c r="CD18" s="7" t="s">
        <v>553</v>
      </c>
      <c r="CE18" s="7" t="s">
        <v>554</v>
      </c>
      <c r="CF18" s="8" t="s">
        <v>409</v>
      </c>
    </row>
    <row r="19" spans="1:84" ht="180">
      <c r="A19" t="s">
        <v>83</v>
      </c>
      <c r="B19" t="s">
        <v>555</v>
      </c>
      <c r="C19" t="s">
        <v>85</v>
      </c>
      <c r="D19" t="s">
        <v>85</v>
      </c>
      <c r="E19" t="s">
        <v>85</v>
      </c>
      <c r="F19" t="s">
        <v>556</v>
      </c>
      <c r="G19" t="s">
        <v>85</v>
      </c>
      <c r="H19" t="s">
        <v>85</v>
      </c>
      <c r="I19" s="5" t="s">
        <v>557</v>
      </c>
      <c r="J19" t="s">
        <v>312</v>
      </c>
      <c r="K19" t="s">
        <v>85</v>
      </c>
      <c r="L19" t="s">
        <v>85</v>
      </c>
      <c r="M19" t="s">
        <v>89</v>
      </c>
      <c r="N19" t="s">
        <v>90</v>
      </c>
      <c r="O19" t="s">
        <v>85</v>
      </c>
      <c r="P19" t="s">
        <v>85</v>
      </c>
      <c r="Q19" t="s">
        <v>85</v>
      </c>
      <c r="R19" t="s">
        <v>85</v>
      </c>
      <c r="S19" t="s">
        <v>85</v>
      </c>
      <c r="T19" t="s">
        <v>558</v>
      </c>
      <c r="U19" t="s">
        <v>559</v>
      </c>
      <c r="V19" s="5" t="s">
        <v>560</v>
      </c>
      <c r="W19" t="s">
        <v>561</v>
      </c>
      <c r="X19" t="s">
        <v>562</v>
      </c>
      <c r="Y19" t="s">
        <v>563</v>
      </c>
      <c r="Z19" t="s">
        <v>564</v>
      </c>
      <c r="AA19" t="s">
        <v>85</v>
      </c>
      <c r="AB19" t="s">
        <v>85</v>
      </c>
      <c r="AC19" t="s">
        <v>565</v>
      </c>
      <c r="AD19" t="s">
        <v>566</v>
      </c>
      <c r="AE19" t="s">
        <v>567</v>
      </c>
      <c r="AF19" t="s">
        <v>85</v>
      </c>
      <c r="AG19">
        <v>88</v>
      </c>
      <c r="AH19">
        <v>0</v>
      </c>
      <c r="AI19">
        <v>0</v>
      </c>
      <c r="AJ19">
        <v>1</v>
      </c>
      <c r="AK19">
        <v>1</v>
      </c>
      <c r="AL19" t="s">
        <v>193</v>
      </c>
      <c r="AM19" t="s">
        <v>194</v>
      </c>
      <c r="AN19" t="s">
        <v>195</v>
      </c>
      <c r="AO19" t="s">
        <v>325</v>
      </c>
      <c r="AP19" t="s">
        <v>326</v>
      </c>
      <c r="AQ19" t="s">
        <v>85</v>
      </c>
      <c r="AR19" t="s">
        <v>327</v>
      </c>
      <c r="AS19" t="s">
        <v>328</v>
      </c>
      <c r="AT19" t="s">
        <v>568</v>
      </c>
      <c r="AU19" s="6">
        <v>2023</v>
      </c>
      <c r="AV19">
        <v>230</v>
      </c>
      <c r="AW19" t="s">
        <v>85</v>
      </c>
      <c r="AX19" t="s">
        <v>85</v>
      </c>
      <c r="AY19" t="s">
        <v>85</v>
      </c>
      <c r="AZ19" t="s">
        <v>85</v>
      </c>
      <c r="BA19" t="s">
        <v>85</v>
      </c>
      <c r="BB19" t="s">
        <v>85</v>
      </c>
      <c r="BC19" t="s">
        <v>85</v>
      </c>
      <c r="BD19">
        <v>104638</v>
      </c>
      <c r="BE19" t="s">
        <v>569</v>
      </c>
      <c r="BF19" t="str">
        <f>HYPERLINK("http://dx.doi.org/10.1016/j.lurbplan.2022.104638","http://dx.doi.org/10.1016/j.lurbplan.2022.104638")</f>
        <v>http://dx.doi.org/10.1016/j.lurbplan.2022.104638</v>
      </c>
      <c r="BG19" t="s">
        <v>85</v>
      </c>
      <c r="BH19" t="s">
        <v>85</v>
      </c>
      <c r="BI19">
        <v>15</v>
      </c>
      <c r="BJ19" s="6" t="s">
        <v>331</v>
      </c>
      <c r="BK19" t="s">
        <v>171</v>
      </c>
      <c r="BL19" t="s">
        <v>332</v>
      </c>
      <c r="BM19" t="s">
        <v>570</v>
      </c>
      <c r="BN19" t="s">
        <v>85</v>
      </c>
      <c r="BO19" t="s">
        <v>85</v>
      </c>
      <c r="BP19" t="s">
        <v>85</v>
      </c>
      <c r="BQ19" t="s">
        <v>85</v>
      </c>
      <c r="BR19" t="s">
        <v>116</v>
      </c>
      <c r="BS19" t="s">
        <v>571</v>
      </c>
      <c r="BT19" t="str">
        <f>HYPERLINK("https%3A%2F%2Fwww.webofscience.com%2Fwos%2Fwoscc%2Ffull-record%2FWOS:000897066300002","View Full Record in Web of Science")</f>
        <v>View Full Record in Web of Science</v>
      </c>
      <c r="BW19" s="6" t="s">
        <v>149</v>
      </c>
      <c r="BX19" s="10" t="s">
        <v>572</v>
      </c>
      <c r="BY19" s="10" t="s">
        <v>151</v>
      </c>
      <c r="CA19" s="10" t="s">
        <v>573</v>
      </c>
      <c r="CB19" s="7" t="s">
        <v>122</v>
      </c>
      <c r="CC19" s="7" t="s">
        <v>123</v>
      </c>
      <c r="CD19" s="7" t="s">
        <v>574</v>
      </c>
      <c r="CE19" s="7" t="s">
        <v>554</v>
      </c>
      <c r="CF19" s="8" t="s">
        <v>575</v>
      </c>
    </row>
    <row r="20" spans="1:84" ht="165">
      <c r="A20" t="s">
        <v>83</v>
      </c>
      <c r="B20" t="s">
        <v>576</v>
      </c>
      <c r="C20" t="s">
        <v>85</v>
      </c>
      <c r="D20" t="s">
        <v>85</v>
      </c>
      <c r="E20" t="s">
        <v>85</v>
      </c>
      <c r="F20" t="s">
        <v>577</v>
      </c>
      <c r="G20" t="s">
        <v>85</v>
      </c>
      <c r="H20" t="s">
        <v>85</v>
      </c>
      <c r="I20" s="5" t="s">
        <v>578</v>
      </c>
      <c r="J20" t="s">
        <v>579</v>
      </c>
      <c r="K20" t="s">
        <v>85</v>
      </c>
      <c r="L20" t="s">
        <v>85</v>
      </c>
      <c r="M20" t="s">
        <v>89</v>
      </c>
      <c r="N20" t="s">
        <v>90</v>
      </c>
      <c r="O20" t="s">
        <v>85</v>
      </c>
      <c r="P20" t="s">
        <v>85</v>
      </c>
      <c r="Q20" t="s">
        <v>85</v>
      </c>
      <c r="R20" t="s">
        <v>85</v>
      </c>
      <c r="S20" t="s">
        <v>85</v>
      </c>
      <c r="T20" t="s">
        <v>580</v>
      </c>
      <c r="U20" t="s">
        <v>581</v>
      </c>
      <c r="V20" s="5" t="s">
        <v>582</v>
      </c>
      <c r="W20" t="s">
        <v>583</v>
      </c>
      <c r="X20" t="s">
        <v>584</v>
      </c>
      <c r="Y20" t="s">
        <v>585</v>
      </c>
      <c r="Z20" t="s">
        <v>586</v>
      </c>
      <c r="AA20" t="s">
        <v>85</v>
      </c>
      <c r="AB20" t="s">
        <v>85</v>
      </c>
      <c r="AC20" t="s">
        <v>85</v>
      </c>
      <c r="AD20" t="s">
        <v>85</v>
      </c>
      <c r="AE20" t="s">
        <v>85</v>
      </c>
      <c r="AF20" t="s">
        <v>85</v>
      </c>
      <c r="AG20">
        <v>363</v>
      </c>
      <c r="AH20">
        <v>1</v>
      </c>
      <c r="AI20">
        <v>1</v>
      </c>
      <c r="AJ20">
        <v>19</v>
      </c>
      <c r="AK20">
        <v>19</v>
      </c>
      <c r="AL20" t="s">
        <v>137</v>
      </c>
      <c r="AM20" t="s">
        <v>138</v>
      </c>
      <c r="AN20" t="s">
        <v>139</v>
      </c>
      <c r="AO20" t="s">
        <v>85</v>
      </c>
      <c r="AP20" t="s">
        <v>587</v>
      </c>
      <c r="AQ20" t="s">
        <v>85</v>
      </c>
      <c r="AR20" t="s">
        <v>579</v>
      </c>
      <c r="AS20" t="s">
        <v>588</v>
      </c>
      <c r="AT20" t="s">
        <v>568</v>
      </c>
      <c r="AU20" s="6">
        <v>2023</v>
      </c>
      <c r="AV20">
        <v>14</v>
      </c>
      <c r="AW20">
        <v>2</v>
      </c>
      <c r="AX20" t="s">
        <v>85</v>
      </c>
      <c r="AY20" t="s">
        <v>85</v>
      </c>
      <c r="AZ20" t="s">
        <v>85</v>
      </c>
      <c r="BA20" t="s">
        <v>85</v>
      </c>
      <c r="BB20" t="s">
        <v>85</v>
      </c>
      <c r="BC20" t="s">
        <v>85</v>
      </c>
      <c r="BD20">
        <v>186</v>
      </c>
      <c r="BE20" t="s">
        <v>589</v>
      </c>
      <c r="BF20" t="str">
        <f>HYPERLINK("http://dx.doi.org/10.3390/f14020186","http://dx.doi.org/10.3390/f14020186")</f>
        <v>http://dx.doi.org/10.3390/f14020186</v>
      </c>
      <c r="BG20" t="s">
        <v>85</v>
      </c>
      <c r="BH20" t="s">
        <v>85</v>
      </c>
      <c r="BI20">
        <v>36</v>
      </c>
      <c r="BJ20" s="6" t="s">
        <v>590</v>
      </c>
      <c r="BK20" t="s">
        <v>112</v>
      </c>
      <c r="BL20" t="s">
        <v>590</v>
      </c>
      <c r="BM20" t="s">
        <v>591</v>
      </c>
      <c r="BN20" t="s">
        <v>85</v>
      </c>
      <c r="BO20" t="s">
        <v>236</v>
      </c>
      <c r="BP20" t="s">
        <v>85</v>
      </c>
      <c r="BQ20" t="s">
        <v>85</v>
      </c>
      <c r="BR20" t="s">
        <v>116</v>
      </c>
      <c r="BS20" t="s">
        <v>592</v>
      </c>
      <c r="BT20" t="str">
        <f>HYPERLINK("https%3A%2F%2Fwww.webofscience.com%2Fwos%2Fwoscc%2Ffull-record%2FWOS:000939166200001","View Full Record in Web of Science")</f>
        <v>View Full Record in Web of Science</v>
      </c>
      <c r="BW20" s="6" t="s">
        <v>365</v>
      </c>
      <c r="BX20" s="10" t="s">
        <v>593</v>
      </c>
      <c r="BY20" s="10" t="s">
        <v>151</v>
      </c>
      <c r="CA20" s="10" t="s">
        <v>594</v>
      </c>
      <c r="CB20" s="7" t="s">
        <v>122</v>
      </c>
      <c r="CC20" s="7" t="s">
        <v>123</v>
      </c>
      <c r="CD20" s="7" t="s">
        <v>595</v>
      </c>
      <c r="CE20" s="7" t="s">
        <v>408</v>
      </c>
      <c r="CF20" s="8" t="s">
        <v>260</v>
      </c>
    </row>
    <row r="21" spans="1:84" ht="210">
      <c r="A21" t="s">
        <v>83</v>
      </c>
      <c r="B21" t="s">
        <v>596</v>
      </c>
      <c r="C21" t="s">
        <v>85</v>
      </c>
      <c r="D21" t="s">
        <v>85</v>
      </c>
      <c r="E21" t="s">
        <v>85</v>
      </c>
      <c r="F21" t="s">
        <v>597</v>
      </c>
      <c r="G21" t="s">
        <v>85</v>
      </c>
      <c r="H21" t="s">
        <v>85</v>
      </c>
      <c r="I21" s="5" t="s">
        <v>598</v>
      </c>
      <c r="J21" t="s">
        <v>599</v>
      </c>
      <c r="K21" t="s">
        <v>85</v>
      </c>
      <c r="L21" t="s">
        <v>85</v>
      </c>
      <c r="M21" t="s">
        <v>89</v>
      </c>
      <c r="N21" t="s">
        <v>90</v>
      </c>
      <c r="O21" t="s">
        <v>85</v>
      </c>
      <c r="P21" t="s">
        <v>85</v>
      </c>
      <c r="Q21" t="s">
        <v>85</v>
      </c>
      <c r="R21" t="s">
        <v>85</v>
      </c>
      <c r="S21" t="s">
        <v>85</v>
      </c>
      <c r="T21" t="s">
        <v>600</v>
      </c>
      <c r="U21" t="s">
        <v>601</v>
      </c>
      <c r="V21" s="5" t="s">
        <v>602</v>
      </c>
      <c r="W21" t="s">
        <v>603</v>
      </c>
      <c r="X21" t="s">
        <v>604</v>
      </c>
      <c r="Y21" t="s">
        <v>605</v>
      </c>
      <c r="Z21" t="s">
        <v>606</v>
      </c>
      <c r="AA21" t="s">
        <v>85</v>
      </c>
      <c r="AB21" t="s">
        <v>607</v>
      </c>
      <c r="AC21" t="s">
        <v>85</v>
      </c>
      <c r="AD21" t="s">
        <v>85</v>
      </c>
      <c r="AE21" t="s">
        <v>85</v>
      </c>
      <c r="AF21" t="s">
        <v>85</v>
      </c>
      <c r="AG21">
        <v>48</v>
      </c>
      <c r="AH21">
        <v>2</v>
      </c>
      <c r="AI21">
        <v>2</v>
      </c>
      <c r="AJ21">
        <v>9</v>
      </c>
      <c r="AK21">
        <v>10</v>
      </c>
      <c r="AL21" t="s">
        <v>608</v>
      </c>
      <c r="AM21" t="s">
        <v>609</v>
      </c>
      <c r="AN21" t="s">
        <v>610</v>
      </c>
      <c r="AO21" t="s">
        <v>611</v>
      </c>
      <c r="AP21" t="s">
        <v>612</v>
      </c>
      <c r="AQ21" t="s">
        <v>85</v>
      </c>
      <c r="AR21" t="s">
        <v>613</v>
      </c>
      <c r="AS21" t="s">
        <v>614</v>
      </c>
      <c r="AT21" t="s">
        <v>568</v>
      </c>
      <c r="AU21" s="6">
        <v>2023</v>
      </c>
      <c r="AV21">
        <v>80</v>
      </c>
      <c r="AW21">
        <v>2</v>
      </c>
      <c r="AX21" t="s">
        <v>85</v>
      </c>
      <c r="AY21" t="s">
        <v>85</v>
      </c>
      <c r="AZ21" t="s">
        <v>85</v>
      </c>
      <c r="BA21" t="s">
        <v>85</v>
      </c>
      <c r="BB21">
        <v>111</v>
      </c>
      <c r="BC21">
        <v>118</v>
      </c>
      <c r="BD21" t="s">
        <v>85</v>
      </c>
      <c r="BE21" t="s">
        <v>615</v>
      </c>
      <c r="BF21" t="str">
        <f>HYPERLINK("http://dx.doi.org/10.1136/oemed-2022-108491","http://dx.doi.org/10.1136/oemed-2022-108491")</f>
        <v>http://dx.doi.org/10.1136/oemed-2022-108491</v>
      </c>
      <c r="BG21" t="s">
        <v>85</v>
      </c>
      <c r="BH21" t="s">
        <v>85</v>
      </c>
      <c r="BI21">
        <v>8</v>
      </c>
      <c r="BJ21" s="6" t="s">
        <v>616</v>
      </c>
      <c r="BK21" t="s">
        <v>112</v>
      </c>
      <c r="BL21" t="s">
        <v>616</v>
      </c>
      <c r="BM21" t="s">
        <v>617</v>
      </c>
      <c r="BN21">
        <v>36646464</v>
      </c>
      <c r="BO21" t="s">
        <v>427</v>
      </c>
      <c r="BP21" t="s">
        <v>85</v>
      </c>
      <c r="BQ21" t="s">
        <v>85</v>
      </c>
      <c r="BR21" t="s">
        <v>116</v>
      </c>
      <c r="BS21" t="s">
        <v>618</v>
      </c>
      <c r="BT21" t="str">
        <f>HYPERLINK("https%3A%2F%2Fwww.webofscience.com%2Fwos%2Fwoscc%2Ffull-record%2FWOS:000920072700008","View Full Record in Web of Science")</f>
        <v>View Full Record in Web of Science</v>
      </c>
      <c r="BW21" s="6" t="s">
        <v>491</v>
      </c>
      <c r="BX21" s="10" t="s">
        <v>619</v>
      </c>
      <c r="BY21" s="10" t="s">
        <v>620</v>
      </c>
      <c r="BZ21">
        <v>2.5</v>
      </c>
      <c r="CA21" s="10" t="s">
        <v>621</v>
      </c>
      <c r="CB21" s="7" t="s">
        <v>122</v>
      </c>
      <c r="CC21" s="7" t="s">
        <v>123</v>
      </c>
      <c r="CD21" s="7" t="s">
        <v>622</v>
      </c>
      <c r="CE21" s="7" t="s">
        <v>211</v>
      </c>
      <c r="CF21" s="8" t="s">
        <v>623</v>
      </c>
    </row>
    <row r="22" spans="1:84" ht="135">
      <c r="A22" t="s">
        <v>83</v>
      </c>
      <c r="B22" t="s">
        <v>624</v>
      </c>
      <c r="C22" t="s">
        <v>85</v>
      </c>
      <c r="D22" t="s">
        <v>85</v>
      </c>
      <c r="E22" t="s">
        <v>85</v>
      </c>
      <c r="F22" t="s">
        <v>625</v>
      </c>
      <c r="G22" t="s">
        <v>85</v>
      </c>
      <c r="H22" t="s">
        <v>85</v>
      </c>
      <c r="I22" s="5" t="s">
        <v>626</v>
      </c>
      <c r="J22" t="s">
        <v>627</v>
      </c>
      <c r="K22" t="s">
        <v>85</v>
      </c>
      <c r="L22" t="s">
        <v>85</v>
      </c>
      <c r="M22" t="s">
        <v>89</v>
      </c>
      <c r="N22" t="s">
        <v>628</v>
      </c>
      <c r="O22" t="s">
        <v>85</v>
      </c>
      <c r="P22" t="s">
        <v>85</v>
      </c>
      <c r="Q22" t="s">
        <v>85</v>
      </c>
      <c r="R22" t="s">
        <v>85</v>
      </c>
      <c r="S22" t="s">
        <v>85</v>
      </c>
      <c r="T22" t="s">
        <v>629</v>
      </c>
      <c r="U22" t="s">
        <v>85</v>
      </c>
      <c r="V22" s="5" t="s">
        <v>630</v>
      </c>
      <c r="W22" t="s">
        <v>631</v>
      </c>
      <c r="X22" t="s">
        <v>632</v>
      </c>
      <c r="Y22" t="s">
        <v>633</v>
      </c>
      <c r="Z22" t="s">
        <v>634</v>
      </c>
      <c r="AA22" t="s">
        <v>85</v>
      </c>
      <c r="AB22" t="s">
        <v>85</v>
      </c>
      <c r="AC22" t="s">
        <v>85</v>
      </c>
      <c r="AD22" t="s">
        <v>85</v>
      </c>
      <c r="AE22" t="s">
        <v>85</v>
      </c>
      <c r="AF22" t="s">
        <v>85</v>
      </c>
      <c r="AG22">
        <v>79</v>
      </c>
      <c r="AH22">
        <v>2</v>
      </c>
      <c r="AI22">
        <v>2</v>
      </c>
      <c r="AJ22">
        <v>21</v>
      </c>
      <c r="AK22">
        <v>22</v>
      </c>
      <c r="AL22" t="s">
        <v>635</v>
      </c>
      <c r="AM22" t="s">
        <v>636</v>
      </c>
      <c r="AN22" t="s">
        <v>637</v>
      </c>
      <c r="AO22" t="s">
        <v>638</v>
      </c>
      <c r="AP22" t="s">
        <v>639</v>
      </c>
      <c r="AQ22" t="s">
        <v>85</v>
      </c>
      <c r="AR22" t="s">
        <v>640</v>
      </c>
      <c r="AS22" t="s">
        <v>641</v>
      </c>
      <c r="AT22" t="s">
        <v>642</v>
      </c>
      <c r="AU22" s="6">
        <v>2023</v>
      </c>
      <c r="AV22" t="s">
        <v>85</v>
      </c>
      <c r="AW22" t="s">
        <v>85</v>
      </c>
      <c r="AX22" t="s">
        <v>85</v>
      </c>
      <c r="AY22" t="s">
        <v>85</v>
      </c>
      <c r="AZ22" t="s">
        <v>85</v>
      </c>
      <c r="BA22" t="s">
        <v>85</v>
      </c>
      <c r="BB22" t="s">
        <v>85</v>
      </c>
      <c r="BC22" t="s">
        <v>85</v>
      </c>
      <c r="BD22" t="s">
        <v>85</v>
      </c>
      <c r="BE22" t="s">
        <v>643</v>
      </c>
      <c r="BF22" t="str">
        <f>HYPERLINK("http://dx.doi.org/10.1007/s11676-022-01595-x","http://dx.doi.org/10.1007/s11676-022-01595-x")</f>
        <v>http://dx.doi.org/10.1007/s11676-022-01595-x</v>
      </c>
      <c r="BG22" t="s">
        <v>85</v>
      </c>
      <c r="BH22" t="s">
        <v>644</v>
      </c>
      <c r="BI22">
        <v>17</v>
      </c>
      <c r="BJ22" s="6" t="s">
        <v>590</v>
      </c>
      <c r="BK22" t="s">
        <v>112</v>
      </c>
      <c r="BL22" t="s">
        <v>590</v>
      </c>
      <c r="BM22" t="s">
        <v>645</v>
      </c>
      <c r="BN22" t="s">
        <v>85</v>
      </c>
      <c r="BO22" t="s">
        <v>85</v>
      </c>
      <c r="BP22" t="s">
        <v>85</v>
      </c>
      <c r="BQ22" t="s">
        <v>85</v>
      </c>
      <c r="BR22" t="s">
        <v>116</v>
      </c>
      <c r="BS22" t="s">
        <v>646</v>
      </c>
      <c r="BT22" t="str">
        <f>HYPERLINK("https%3A%2F%2Fwww.webofscience.com%2Fwos%2Fwoscc%2Ffull-record%2FWOS:000916889400001","View Full Record in Web of Science")</f>
        <v>View Full Record in Web of Science</v>
      </c>
      <c r="BW22" s="6" t="s">
        <v>149</v>
      </c>
      <c r="BX22" s="10" t="s">
        <v>647</v>
      </c>
      <c r="BY22" s="10" t="s">
        <v>648</v>
      </c>
      <c r="CA22" s="10" t="s">
        <v>649</v>
      </c>
      <c r="CB22" s="7" t="s">
        <v>122</v>
      </c>
      <c r="CC22" s="7" t="s">
        <v>123</v>
      </c>
      <c r="CD22" s="7" t="s">
        <v>622</v>
      </c>
      <c r="CE22" s="7" t="s">
        <v>554</v>
      </c>
      <c r="CF22" s="8" t="s">
        <v>154</v>
      </c>
    </row>
    <row r="23" spans="1:84" ht="165">
      <c r="A23" t="s">
        <v>83</v>
      </c>
      <c r="B23" t="s">
        <v>650</v>
      </c>
      <c r="C23" t="s">
        <v>85</v>
      </c>
      <c r="D23" t="s">
        <v>85</v>
      </c>
      <c r="E23" t="s">
        <v>85</v>
      </c>
      <c r="F23" t="s">
        <v>651</v>
      </c>
      <c r="G23" t="s">
        <v>85</v>
      </c>
      <c r="H23" t="s">
        <v>85</v>
      </c>
      <c r="I23" s="5" t="s">
        <v>652</v>
      </c>
      <c r="J23" t="s">
        <v>129</v>
      </c>
      <c r="K23" t="s">
        <v>85</v>
      </c>
      <c r="L23" t="s">
        <v>85</v>
      </c>
      <c r="M23" t="s">
        <v>89</v>
      </c>
      <c r="N23" t="s">
        <v>90</v>
      </c>
      <c r="O23" t="s">
        <v>85</v>
      </c>
      <c r="P23" t="s">
        <v>85</v>
      </c>
      <c r="Q23" t="s">
        <v>85</v>
      </c>
      <c r="R23" t="s">
        <v>85</v>
      </c>
      <c r="S23" t="s">
        <v>85</v>
      </c>
      <c r="T23" t="s">
        <v>653</v>
      </c>
      <c r="U23" t="s">
        <v>654</v>
      </c>
      <c r="V23" s="5" t="s">
        <v>655</v>
      </c>
      <c r="W23" t="s">
        <v>656</v>
      </c>
      <c r="X23" t="s">
        <v>657</v>
      </c>
      <c r="Y23" t="s">
        <v>658</v>
      </c>
      <c r="Z23" t="s">
        <v>659</v>
      </c>
      <c r="AA23" t="s">
        <v>85</v>
      </c>
      <c r="AB23" t="s">
        <v>660</v>
      </c>
      <c r="AC23" t="s">
        <v>657</v>
      </c>
      <c r="AD23" t="s">
        <v>661</v>
      </c>
      <c r="AE23" t="s">
        <v>662</v>
      </c>
      <c r="AF23" t="s">
        <v>85</v>
      </c>
      <c r="AG23">
        <v>104</v>
      </c>
      <c r="AH23">
        <v>0</v>
      </c>
      <c r="AI23">
        <v>0</v>
      </c>
      <c r="AJ23">
        <v>2</v>
      </c>
      <c r="AK23">
        <v>2</v>
      </c>
      <c r="AL23" t="s">
        <v>137</v>
      </c>
      <c r="AM23" t="s">
        <v>138</v>
      </c>
      <c r="AN23" t="s">
        <v>139</v>
      </c>
      <c r="AO23" t="s">
        <v>85</v>
      </c>
      <c r="AP23" t="s">
        <v>140</v>
      </c>
      <c r="AQ23" t="s">
        <v>85</v>
      </c>
      <c r="AR23" t="s">
        <v>141</v>
      </c>
      <c r="AS23" t="s">
        <v>142</v>
      </c>
      <c r="AT23" t="s">
        <v>544</v>
      </c>
      <c r="AU23" s="6">
        <v>2023</v>
      </c>
      <c r="AV23">
        <v>12</v>
      </c>
      <c r="AW23">
        <v>1</v>
      </c>
      <c r="AX23" t="s">
        <v>85</v>
      </c>
      <c r="AY23" t="s">
        <v>85</v>
      </c>
      <c r="AZ23" t="s">
        <v>85</v>
      </c>
      <c r="BA23" t="s">
        <v>85</v>
      </c>
      <c r="BB23" t="s">
        <v>85</v>
      </c>
      <c r="BC23" t="s">
        <v>85</v>
      </c>
      <c r="BD23">
        <v>228</v>
      </c>
      <c r="BE23" t="s">
        <v>663</v>
      </c>
      <c r="BF23" t="str">
        <f>HYPERLINK("http://dx.doi.org/10.3390/land12010228","http://dx.doi.org/10.3390/land12010228")</f>
        <v>http://dx.doi.org/10.3390/land12010228</v>
      </c>
      <c r="BG23" t="s">
        <v>85</v>
      </c>
      <c r="BH23" t="s">
        <v>85</v>
      </c>
      <c r="BI23">
        <v>18</v>
      </c>
      <c r="BJ23" s="6" t="s">
        <v>145</v>
      </c>
      <c r="BK23" t="s">
        <v>146</v>
      </c>
      <c r="BL23" t="s">
        <v>113</v>
      </c>
      <c r="BM23" t="s">
        <v>664</v>
      </c>
      <c r="BN23" t="s">
        <v>85</v>
      </c>
      <c r="BO23" t="s">
        <v>115</v>
      </c>
      <c r="BP23" t="s">
        <v>85</v>
      </c>
      <c r="BQ23" t="s">
        <v>85</v>
      </c>
      <c r="BR23" t="s">
        <v>116</v>
      </c>
      <c r="BS23" t="s">
        <v>665</v>
      </c>
      <c r="BT23" t="str">
        <f>HYPERLINK("https%3A%2F%2Fwww.webofscience.com%2Fwos%2Fwoscc%2Ffull-record%2FWOS:000917762100001","View Full Record in Web of Science")</f>
        <v>View Full Record in Web of Science</v>
      </c>
      <c r="BW23" s="6" t="s">
        <v>365</v>
      </c>
      <c r="BX23" s="10" t="s">
        <v>666</v>
      </c>
      <c r="BY23" s="10" t="s">
        <v>289</v>
      </c>
      <c r="CA23" s="10" t="s">
        <v>667</v>
      </c>
      <c r="CB23" s="7" t="s">
        <v>122</v>
      </c>
      <c r="CC23" s="7" t="s">
        <v>123</v>
      </c>
      <c r="CD23" s="7" t="s">
        <v>622</v>
      </c>
      <c r="CE23" s="7" t="s">
        <v>211</v>
      </c>
      <c r="CF23" s="8" t="s">
        <v>668</v>
      </c>
    </row>
    <row r="24" spans="1:84" ht="225">
      <c r="A24" t="s">
        <v>83</v>
      </c>
      <c r="B24" t="s">
        <v>669</v>
      </c>
      <c r="C24" t="s">
        <v>85</v>
      </c>
      <c r="D24" t="s">
        <v>85</v>
      </c>
      <c r="E24" t="s">
        <v>85</v>
      </c>
      <c r="F24" t="s">
        <v>670</v>
      </c>
      <c r="G24" t="s">
        <v>85</v>
      </c>
      <c r="H24" t="s">
        <v>85</v>
      </c>
      <c r="I24" s="5" t="s">
        <v>671</v>
      </c>
      <c r="J24" t="s">
        <v>672</v>
      </c>
      <c r="K24" t="s">
        <v>85</v>
      </c>
      <c r="L24" t="s">
        <v>85</v>
      </c>
      <c r="M24" t="s">
        <v>89</v>
      </c>
      <c r="N24" t="s">
        <v>90</v>
      </c>
      <c r="O24" t="s">
        <v>85</v>
      </c>
      <c r="P24" t="s">
        <v>85</v>
      </c>
      <c r="Q24" t="s">
        <v>85</v>
      </c>
      <c r="R24" t="s">
        <v>85</v>
      </c>
      <c r="S24" t="s">
        <v>85</v>
      </c>
      <c r="T24" t="s">
        <v>673</v>
      </c>
      <c r="U24" t="s">
        <v>674</v>
      </c>
      <c r="V24" s="5" t="s">
        <v>675</v>
      </c>
      <c r="W24" t="s">
        <v>676</v>
      </c>
      <c r="X24" t="s">
        <v>677</v>
      </c>
      <c r="Y24" t="s">
        <v>678</v>
      </c>
      <c r="Z24" t="s">
        <v>679</v>
      </c>
      <c r="AA24" t="s">
        <v>85</v>
      </c>
      <c r="AB24" t="s">
        <v>85</v>
      </c>
      <c r="AC24" t="s">
        <v>85</v>
      </c>
      <c r="AD24" t="s">
        <v>85</v>
      </c>
      <c r="AE24" t="s">
        <v>85</v>
      </c>
      <c r="AF24" t="s">
        <v>85</v>
      </c>
      <c r="AG24">
        <v>81</v>
      </c>
      <c r="AH24">
        <v>0</v>
      </c>
      <c r="AI24">
        <v>0</v>
      </c>
      <c r="AJ24">
        <v>2</v>
      </c>
      <c r="AK24">
        <v>2</v>
      </c>
      <c r="AL24" t="s">
        <v>680</v>
      </c>
      <c r="AM24" t="s">
        <v>102</v>
      </c>
      <c r="AN24" t="s">
        <v>681</v>
      </c>
      <c r="AO24" t="s">
        <v>682</v>
      </c>
      <c r="AP24" t="s">
        <v>683</v>
      </c>
      <c r="AQ24" t="s">
        <v>85</v>
      </c>
      <c r="AR24" t="s">
        <v>684</v>
      </c>
      <c r="AS24" t="s">
        <v>685</v>
      </c>
      <c r="AT24" t="s">
        <v>544</v>
      </c>
      <c r="AU24" s="6">
        <v>2023</v>
      </c>
      <c r="AV24">
        <v>148</v>
      </c>
      <c r="AW24" t="s">
        <v>85</v>
      </c>
      <c r="AX24" t="s">
        <v>85</v>
      </c>
      <c r="AY24" t="s">
        <v>85</v>
      </c>
      <c r="AZ24" t="s">
        <v>85</v>
      </c>
      <c r="BA24" t="s">
        <v>85</v>
      </c>
      <c r="BB24" t="s">
        <v>85</v>
      </c>
      <c r="BC24" t="s">
        <v>85</v>
      </c>
      <c r="BD24">
        <v>105355</v>
      </c>
      <c r="BE24" t="s">
        <v>686</v>
      </c>
      <c r="BF24" t="str">
        <f>HYPERLINK("http://dx.doi.org/10.1016/j.marpol.2022.105355","http://dx.doi.org/10.1016/j.marpol.2022.105355")</f>
        <v>http://dx.doi.org/10.1016/j.marpol.2022.105355</v>
      </c>
      <c r="BG24" t="s">
        <v>85</v>
      </c>
      <c r="BH24" t="s">
        <v>687</v>
      </c>
      <c r="BI24">
        <v>12</v>
      </c>
      <c r="BJ24" s="6" t="s">
        <v>688</v>
      </c>
      <c r="BK24" t="s">
        <v>146</v>
      </c>
      <c r="BL24" t="s">
        <v>689</v>
      </c>
      <c r="BM24" t="s">
        <v>690</v>
      </c>
      <c r="BN24" t="s">
        <v>85</v>
      </c>
      <c r="BO24" t="s">
        <v>85</v>
      </c>
      <c r="BP24" t="s">
        <v>85</v>
      </c>
      <c r="BQ24" t="s">
        <v>85</v>
      </c>
      <c r="BR24" t="s">
        <v>116</v>
      </c>
      <c r="BS24" t="s">
        <v>691</v>
      </c>
      <c r="BT24" t="str">
        <f>HYPERLINK("https%3A%2F%2Fwww.webofscience.com%2Fwos%2Fwoscc%2Ffull-record%2FWOS:000949029800001","View Full Record in Web of Science")</f>
        <v>View Full Record in Web of Science</v>
      </c>
      <c r="BW24" s="6" t="s">
        <v>149</v>
      </c>
      <c r="BX24" s="10" t="s">
        <v>692</v>
      </c>
      <c r="BY24" s="10" t="s">
        <v>151</v>
      </c>
      <c r="CA24" s="10" t="s">
        <v>693</v>
      </c>
      <c r="CB24" s="7" t="s">
        <v>122</v>
      </c>
      <c r="CC24" s="7" t="s">
        <v>123</v>
      </c>
      <c r="CD24" s="7" t="s">
        <v>694</v>
      </c>
      <c r="CE24" s="7" t="s">
        <v>118</v>
      </c>
      <c r="CF24" s="8" t="s">
        <v>695</v>
      </c>
    </row>
    <row r="25" spans="1:84" ht="195">
      <c r="A25" t="s">
        <v>83</v>
      </c>
      <c r="B25" t="s">
        <v>696</v>
      </c>
      <c r="C25" t="s">
        <v>85</v>
      </c>
      <c r="D25" t="s">
        <v>85</v>
      </c>
      <c r="E25" t="s">
        <v>85</v>
      </c>
      <c r="F25" t="s">
        <v>697</v>
      </c>
      <c r="G25" t="s">
        <v>85</v>
      </c>
      <c r="H25" t="s">
        <v>85</v>
      </c>
      <c r="I25" s="5" t="s">
        <v>698</v>
      </c>
      <c r="J25" t="s">
        <v>699</v>
      </c>
      <c r="K25" t="s">
        <v>85</v>
      </c>
      <c r="L25" t="s">
        <v>85</v>
      </c>
      <c r="M25" t="s">
        <v>89</v>
      </c>
      <c r="N25" t="s">
        <v>90</v>
      </c>
      <c r="O25" t="s">
        <v>85</v>
      </c>
      <c r="P25" t="s">
        <v>85</v>
      </c>
      <c r="Q25" t="s">
        <v>85</v>
      </c>
      <c r="R25" t="s">
        <v>85</v>
      </c>
      <c r="S25" t="s">
        <v>85</v>
      </c>
      <c r="T25" t="s">
        <v>700</v>
      </c>
      <c r="U25" t="s">
        <v>701</v>
      </c>
      <c r="V25" s="5" t="s">
        <v>702</v>
      </c>
      <c r="W25" t="s">
        <v>703</v>
      </c>
      <c r="X25" t="s">
        <v>704</v>
      </c>
      <c r="Y25" t="s">
        <v>705</v>
      </c>
      <c r="Z25" t="s">
        <v>706</v>
      </c>
      <c r="AA25" t="s">
        <v>85</v>
      </c>
      <c r="AB25" t="s">
        <v>85</v>
      </c>
      <c r="AC25" t="s">
        <v>85</v>
      </c>
      <c r="AD25" t="s">
        <v>85</v>
      </c>
      <c r="AE25" t="s">
        <v>85</v>
      </c>
      <c r="AF25" t="s">
        <v>85</v>
      </c>
      <c r="AG25">
        <v>60</v>
      </c>
      <c r="AH25">
        <v>0</v>
      </c>
      <c r="AI25">
        <v>0</v>
      </c>
      <c r="AJ25">
        <v>6</v>
      </c>
      <c r="AK25">
        <v>6</v>
      </c>
      <c r="AL25" t="s">
        <v>707</v>
      </c>
      <c r="AM25" t="s">
        <v>708</v>
      </c>
      <c r="AN25" t="s">
        <v>709</v>
      </c>
      <c r="AO25" t="s">
        <v>710</v>
      </c>
      <c r="AP25" t="s">
        <v>711</v>
      </c>
      <c r="AQ25" t="s">
        <v>85</v>
      </c>
      <c r="AR25" t="s">
        <v>712</v>
      </c>
      <c r="AS25" t="s">
        <v>713</v>
      </c>
      <c r="AT25" t="s">
        <v>714</v>
      </c>
      <c r="AU25" s="6">
        <v>2023</v>
      </c>
      <c r="AV25">
        <v>30</v>
      </c>
      <c r="AW25">
        <v>12</v>
      </c>
      <c r="AX25" t="s">
        <v>85</v>
      </c>
      <c r="AY25" t="s">
        <v>85</v>
      </c>
      <c r="AZ25" t="s">
        <v>85</v>
      </c>
      <c r="BA25" t="s">
        <v>85</v>
      </c>
      <c r="BB25">
        <v>34115</v>
      </c>
      <c r="BC25">
        <v>34134</v>
      </c>
      <c r="BD25" t="s">
        <v>85</v>
      </c>
      <c r="BE25" t="s">
        <v>715</v>
      </c>
      <c r="BF25" t="str">
        <f>HYPERLINK("http://dx.doi.org/10.1007/s11356-022-24575-4","http://dx.doi.org/10.1007/s11356-022-24575-4")</f>
        <v>http://dx.doi.org/10.1007/s11356-022-24575-4</v>
      </c>
      <c r="BG25" t="s">
        <v>85</v>
      </c>
      <c r="BH25" t="s">
        <v>687</v>
      </c>
      <c r="BI25">
        <v>20</v>
      </c>
      <c r="BJ25" s="6" t="s">
        <v>111</v>
      </c>
      <c r="BK25" t="s">
        <v>112</v>
      </c>
      <c r="BL25" t="s">
        <v>113</v>
      </c>
      <c r="BM25" t="s">
        <v>716</v>
      </c>
      <c r="BN25">
        <v>36508102</v>
      </c>
      <c r="BO25" t="s">
        <v>85</v>
      </c>
      <c r="BP25" t="s">
        <v>85</v>
      </c>
      <c r="BQ25" t="s">
        <v>85</v>
      </c>
      <c r="BR25" t="s">
        <v>116</v>
      </c>
      <c r="BS25" t="s">
        <v>717</v>
      </c>
      <c r="BT25" t="str">
        <f>HYPERLINK("https%3A%2F%2Fwww.webofscience.com%2Fwos%2Fwoscc%2Ffull-record%2FWOS:000898458800015","View Full Record in Web of Science")</f>
        <v>View Full Record in Web of Science</v>
      </c>
      <c r="BW25" s="6" t="s">
        <v>149</v>
      </c>
      <c r="BX25" s="10" t="s">
        <v>718</v>
      </c>
      <c r="BY25" s="10" t="s">
        <v>289</v>
      </c>
      <c r="BZ25">
        <v>30</v>
      </c>
      <c r="CA25" s="10" t="s">
        <v>719</v>
      </c>
      <c r="CB25" s="7" t="s">
        <v>122</v>
      </c>
      <c r="CC25" s="7" t="s">
        <v>123</v>
      </c>
      <c r="CD25" s="7" t="s">
        <v>694</v>
      </c>
      <c r="CE25" s="7" t="s">
        <v>211</v>
      </c>
      <c r="CF25" s="8" t="s">
        <v>720</v>
      </c>
    </row>
    <row r="26" spans="1:84" ht="255">
      <c r="A26" t="s">
        <v>83</v>
      </c>
      <c r="B26" t="s">
        <v>721</v>
      </c>
      <c r="C26" t="s">
        <v>85</v>
      </c>
      <c r="D26" t="s">
        <v>85</v>
      </c>
      <c r="E26" t="s">
        <v>85</v>
      </c>
      <c r="F26" t="s">
        <v>722</v>
      </c>
      <c r="G26" t="s">
        <v>85</v>
      </c>
      <c r="H26" t="s">
        <v>85</v>
      </c>
      <c r="I26" s="5" t="s">
        <v>723</v>
      </c>
      <c r="J26" t="s">
        <v>724</v>
      </c>
      <c r="K26" t="s">
        <v>85</v>
      </c>
      <c r="L26" t="s">
        <v>85</v>
      </c>
      <c r="M26" t="s">
        <v>89</v>
      </c>
      <c r="N26" t="s">
        <v>90</v>
      </c>
      <c r="O26" t="s">
        <v>85</v>
      </c>
      <c r="P26" t="s">
        <v>85</v>
      </c>
      <c r="Q26" t="s">
        <v>85</v>
      </c>
      <c r="R26" t="s">
        <v>85</v>
      </c>
      <c r="S26" t="s">
        <v>85</v>
      </c>
      <c r="T26" t="s">
        <v>725</v>
      </c>
      <c r="U26" t="s">
        <v>726</v>
      </c>
      <c r="V26" s="5" t="s">
        <v>727</v>
      </c>
      <c r="W26" t="s">
        <v>728</v>
      </c>
      <c r="X26" t="s">
        <v>729</v>
      </c>
      <c r="Y26" t="s">
        <v>730</v>
      </c>
      <c r="Z26" t="s">
        <v>731</v>
      </c>
      <c r="AA26" t="s">
        <v>732</v>
      </c>
      <c r="AB26" t="s">
        <v>733</v>
      </c>
      <c r="AC26" t="s">
        <v>734</v>
      </c>
      <c r="AD26" t="s">
        <v>735</v>
      </c>
      <c r="AE26" t="s">
        <v>736</v>
      </c>
      <c r="AF26" t="s">
        <v>85</v>
      </c>
      <c r="AG26">
        <v>112</v>
      </c>
      <c r="AH26">
        <v>1</v>
      </c>
      <c r="AI26">
        <v>1</v>
      </c>
      <c r="AJ26">
        <v>22</v>
      </c>
      <c r="AK26">
        <v>32</v>
      </c>
      <c r="AL26" t="s">
        <v>352</v>
      </c>
      <c r="AM26" t="s">
        <v>353</v>
      </c>
      <c r="AN26" t="s">
        <v>354</v>
      </c>
      <c r="AO26" t="s">
        <v>85</v>
      </c>
      <c r="AP26" t="s">
        <v>737</v>
      </c>
      <c r="AQ26" t="s">
        <v>85</v>
      </c>
      <c r="AR26" t="s">
        <v>738</v>
      </c>
      <c r="AS26" t="s">
        <v>739</v>
      </c>
      <c r="AT26" t="s">
        <v>568</v>
      </c>
      <c r="AU26" s="6">
        <v>2023</v>
      </c>
      <c r="AV26">
        <v>5</v>
      </c>
      <c r="AW26">
        <v>1</v>
      </c>
      <c r="AX26" t="s">
        <v>85</v>
      </c>
      <c r="AY26" t="s">
        <v>85</v>
      </c>
      <c r="AZ26" t="s">
        <v>85</v>
      </c>
      <c r="BA26" t="s">
        <v>85</v>
      </c>
      <c r="BB26">
        <v>162</v>
      </c>
      <c r="BC26">
        <v>182</v>
      </c>
      <c r="BD26" t="s">
        <v>85</v>
      </c>
      <c r="BE26" t="s">
        <v>740</v>
      </c>
      <c r="BF26" t="str">
        <f>HYPERLINK("http://dx.doi.org/10.1002/pan3.10419","http://dx.doi.org/10.1002/pan3.10419")</f>
        <v>http://dx.doi.org/10.1002/pan3.10419</v>
      </c>
      <c r="BG26" t="s">
        <v>85</v>
      </c>
      <c r="BH26" t="s">
        <v>687</v>
      </c>
      <c r="BI26">
        <v>21</v>
      </c>
      <c r="BJ26" s="6" t="s">
        <v>741</v>
      </c>
      <c r="BK26" t="s">
        <v>112</v>
      </c>
      <c r="BL26" t="s">
        <v>204</v>
      </c>
      <c r="BM26" t="s">
        <v>742</v>
      </c>
      <c r="BN26" t="s">
        <v>85</v>
      </c>
      <c r="BO26" t="s">
        <v>115</v>
      </c>
      <c r="BP26" t="s">
        <v>85</v>
      </c>
      <c r="BQ26" t="s">
        <v>85</v>
      </c>
      <c r="BR26" t="s">
        <v>116</v>
      </c>
      <c r="BS26" t="s">
        <v>743</v>
      </c>
      <c r="BT26" t="str">
        <f>HYPERLINK("https%3A%2F%2Fwww.webofscience.com%2Fwos%2Fwoscc%2Ffull-record%2FWOS:000894620700001","View Full Record in Web of Science")</f>
        <v>View Full Record in Web of Science</v>
      </c>
      <c r="BW26" s="6" t="s">
        <v>149</v>
      </c>
      <c r="BX26" s="10" t="s">
        <v>744</v>
      </c>
      <c r="BY26" s="10" t="s">
        <v>151</v>
      </c>
      <c r="CA26" s="10" t="s">
        <v>258</v>
      </c>
      <c r="CB26" s="7" t="s">
        <v>122</v>
      </c>
      <c r="CC26" s="7" t="s">
        <v>123</v>
      </c>
      <c r="CD26" s="7" t="s">
        <v>745</v>
      </c>
      <c r="CE26" s="7" t="s">
        <v>211</v>
      </c>
      <c r="CF26" s="8" t="s">
        <v>746</v>
      </c>
    </row>
    <row r="27" spans="1:84" ht="210">
      <c r="A27" t="s">
        <v>83</v>
      </c>
      <c r="B27" t="s">
        <v>747</v>
      </c>
      <c r="C27" t="s">
        <v>85</v>
      </c>
      <c r="D27" t="s">
        <v>85</v>
      </c>
      <c r="E27" t="s">
        <v>85</v>
      </c>
      <c r="F27" t="s">
        <v>748</v>
      </c>
      <c r="G27" t="s">
        <v>85</v>
      </c>
      <c r="H27" t="s">
        <v>85</v>
      </c>
      <c r="I27" s="5" t="s">
        <v>749</v>
      </c>
      <c r="J27" t="s">
        <v>312</v>
      </c>
      <c r="K27" t="s">
        <v>85</v>
      </c>
      <c r="L27" t="s">
        <v>85</v>
      </c>
      <c r="M27" t="s">
        <v>89</v>
      </c>
      <c r="N27" t="s">
        <v>90</v>
      </c>
      <c r="O27" t="s">
        <v>85</v>
      </c>
      <c r="P27" t="s">
        <v>85</v>
      </c>
      <c r="Q27" t="s">
        <v>85</v>
      </c>
      <c r="R27" t="s">
        <v>85</v>
      </c>
      <c r="S27" t="s">
        <v>85</v>
      </c>
      <c r="T27" t="s">
        <v>750</v>
      </c>
      <c r="U27" t="s">
        <v>751</v>
      </c>
      <c r="V27" s="5" t="s">
        <v>752</v>
      </c>
      <c r="W27" t="s">
        <v>753</v>
      </c>
      <c r="X27" t="s">
        <v>754</v>
      </c>
      <c r="Y27" t="s">
        <v>755</v>
      </c>
      <c r="Z27" t="s">
        <v>756</v>
      </c>
      <c r="AA27" t="s">
        <v>757</v>
      </c>
      <c r="AB27" t="s">
        <v>758</v>
      </c>
      <c r="AC27" t="s">
        <v>759</v>
      </c>
      <c r="AD27" t="s">
        <v>759</v>
      </c>
      <c r="AE27" t="s">
        <v>760</v>
      </c>
      <c r="AF27" t="s">
        <v>85</v>
      </c>
      <c r="AG27">
        <v>84</v>
      </c>
      <c r="AH27">
        <v>2</v>
      </c>
      <c r="AI27">
        <v>2</v>
      </c>
      <c r="AJ27">
        <v>18</v>
      </c>
      <c r="AK27">
        <v>24</v>
      </c>
      <c r="AL27" t="s">
        <v>193</v>
      </c>
      <c r="AM27" t="s">
        <v>194</v>
      </c>
      <c r="AN27" t="s">
        <v>195</v>
      </c>
      <c r="AO27" t="s">
        <v>325</v>
      </c>
      <c r="AP27" t="s">
        <v>326</v>
      </c>
      <c r="AQ27" t="s">
        <v>85</v>
      </c>
      <c r="AR27" t="s">
        <v>327</v>
      </c>
      <c r="AS27" t="s">
        <v>328</v>
      </c>
      <c r="AT27" t="s">
        <v>761</v>
      </c>
      <c r="AU27" s="6">
        <v>2022</v>
      </c>
      <c r="AV27">
        <v>228</v>
      </c>
      <c r="AW27" t="s">
        <v>85</v>
      </c>
      <c r="AX27" t="s">
        <v>85</v>
      </c>
      <c r="AY27" t="s">
        <v>85</v>
      </c>
      <c r="AZ27" t="s">
        <v>85</v>
      </c>
      <c r="BA27" t="s">
        <v>85</v>
      </c>
      <c r="BB27" t="s">
        <v>85</v>
      </c>
      <c r="BC27" t="s">
        <v>85</v>
      </c>
      <c r="BD27">
        <v>104549</v>
      </c>
      <c r="BE27" t="s">
        <v>762</v>
      </c>
      <c r="BF27" t="str">
        <f>HYPERLINK("http://dx.doi.org/10.1016/j.lurbplan.2022.104549","http://dx.doi.org/10.1016/j.lurbplan.2022.104549")</f>
        <v>http://dx.doi.org/10.1016/j.lurbplan.2022.104549</v>
      </c>
      <c r="BG27" t="s">
        <v>85</v>
      </c>
      <c r="BH27" t="s">
        <v>85</v>
      </c>
      <c r="BI27">
        <v>12</v>
      </c>
      <c r="BJ27" s="6" t="s">
        <v>331</v>
      </c>
      <c r="BK27" t="s">
        <v>171</v>
      </c>
      <c r="BL27" t="s">
        <v>332</v>
      </c>
      <c r="BM27" t="s">
        <v>763</v>
      </c>
      <c r="BN27" t="s">
        <v>85</v>
      </c>
      <c r="BO27" t="s">
        <v>85</v>
      </c>
      <c r="BP27" t="s">
        <v>85</v>
      </c>
      <c r="BQ27" t="s">
        <v>85</v>
      </c>
      <c r="BR27" t="s">
        <v>116</v>
      </c>
      <c r="BS27" t="s">
        <v>764</v>
      </c>
      <c r="BT27" t="str">
        <f>HYPERLINK("https%3A%2F%2Fwww.webofscience.com%2Fwos%2Fwoscc%2Ffull-record%2FWOS:000880429800003","View Full Record in Web of Science")</f>
        <v>View Full Record in Web of Science</v>
      </c>
      <c r="BW27" s="6" t="s">
        <v>149</v>
      </c>
      <c r="BX27" s="10" t="s">
        <v>765</v>
      </c>
      <c r="BY27" s="10" t="s">
        <v>151</v>
      </c>
      <c r="CA27" s="10" t="s">
        <v>766</v>
      </c>
      <c r="CB27" s="7" t="s">
        <v>122</v>
      </c>
      <c r="CC27" s="7" t="s">
        <v>123</v>
      </c>
      <c r="CD27" s="7" t="s">
        <v>694</v>
      </c>
      <c r="CE27" s="7" t="s">
        <v>118</v>
      </c>
      <c r="CF27" s="8" t="s">
        <v>767</v>
      </c>
    </row>
    <row r="28" spans="1:84" ht="195">
      <c r="A28" t="s">
        <v>83</v>
      </c>
      <c r="B28" t="s">
        <v>768</v>
      </c>
      <c r="C28" t="s">
        <v>85</v>
      </c>
      <c r="D28" t="s">
        <v>85</v>
      </c>
      <c r="E28" t="s">
        <v>85</v>
      </c>
      <c r="F28" t="s">
        <v>769</v>
      </c>
      <c r="G28" t="s">
        <v>85</v>
      </c>
      <c r="H28" t="s">
        <v>85</v>
      </c>
      <c r="I28" s="5" t="s">
        <v>770</v>
      </c>
      <c r="J28" t="s">
        <v>312</v>
      </c>
      <c r="K28" t="s">
        <v>85</v>
      </c>
      <c r="L28" t="s">
        <v>85</v>
      </c>
      <c r="M28" t="s">
        <v>89</v>
      </c>
      <c r="N28" t="s">
        <v>90</v>
      </c>
      <c r="O28" t="s">
        <v>85</v>
      </c>
      <c r="P28" t="s">
        <v>85</v>
      </c>
      <c r="Q28" t="s">
        <v>85</v>
      </c>
      <c r="R28" t="s">
        <v>85</v>
      </c>
      <c r="S28" t="s">
        <v>85</v>
      </c>
      <c r="T28" t="s">
        <v>85</v>
      </c>
      <c r="U28" t="s">
        <v>771</v>
      </c>
      <c r="V28" s="5" t="s">
        <v>772</v>
      </c>
      <c r="W28" t="s">
        <v>773</v>
      </c>
      <c r="X28" t="s">
        <v>774</v>
      </c>
      <c r="Y28" t="s">
        <v>775</v>
      </c>
      <c r="Z28" t="s">
        <v>776</v>
      </c>
      <c r="AA28" t="s">
        <v>777</v>
      </c>
      <c r="AB28" t="s">
        <v>778</v>
      </c>
      <c r="AC28" t="s">
        <v>779</v>
      </c>
      <c r="AD28" t="s">
        <v>780</v>
      </c>
      <c r="AE28" t="s">
        <v>781</v>
      </c>
      <c r="AF28" t="s">
        <v>85</v>
      </c>
      <c r="AG28">
        <v>87</v>
      </c>
      <c r="AH28">
        <v>6</v>
      </c>
      <c r="AI28">
        <v>6</v>
      </c>
      <c r="AJ28">
        <v>53</v>
      </c>
      <c r="AK28">
        <v>99</v>
      </c>
      <c r="AL28" t="s">
        <v>193</v>
      </c>
      <c r="AM28" t="s">
        <v>194</v>
      </c>
      <c r="AN28" t="s">
        <v>195</v>
      </c>
      <c r="AO28" t="s">
        <v>325</v>
      </c>
      <c r="AP28" t="s">
        <v>326</v>
      </c>
      <c r="AQ28" t="s">
        <v>85</v>
      </c>
      <c r="AR28" t="s">
        <v>327</v>
      </c>
      <c r="AS28" t="s">
        <v>328</v>
      </c>
      <c r="AT28" t="s">
        <v>761</v>
      </c>
      <c r="AU28" s="6">
        <v>2022</v>
      </c>
      <c r="AV28">
        <v>228</v>
      </c>
      <c r="AW28" t="s">
        <v>85</v>
      </c>
      <c r="AX28" t="s">
        <v>85</v>
      </c>
      <c r="AY28" t="s">
        <v>85</v>
      </c>
      <c r="AZ28" t="s">
        <v>85</v>
      </c>
      <c r="BA28" t="s">
        <v>85</v>
      </c>
      <c r="BB28" t="s">
        <v>85</v>
      </c>
      <c r="BC28" t="s">
        <v>85</v>
      </c>
      <c r="BD28">
        <v>104570</v>
      </c>
      <c r="BE28" t="s">
        <v>782</v>
      </c>
      <c r="BF28" t="str">
        <f>HYPERLINK("http://dx.doi.org/10.1016/j.landurbplan.2022.104570","http://dx.doi.org/10.1016/j.landurbplan.2022.104570")</f>
        <v>http://dx.doi.org/10.1016/j.landurbplan.2022.104570</v>
      </c>
      <c r="BG28" t="s">
        <v>85</v>
      </c>
      <c r="BH28" t="s">
        <v>85</v>
      </c>
      <c r="BI28">
        <v>12</v>
      </c>
      <c r="BJ28" s="6" t="s">
        <v>331</v>
      </c>
      <c r="BK28" t="s">
        <v>171</v>
      </c>
      <c r="BL28" t="s">
        <v>332</v>
      </c>
      <c r="BM28" t="s">
        <v>783</v>
      </c>
      <c r="BN28" t="s">
        <v>85</v>
      </c>
      <c r="BO28" t="s">
        <v>784</v>
      </c>
      <c r="BP28" t="s">
        <v>85</v>
      </c>
      <c r="BQ28" t="s">
        <v>85</v>
      </c>
      <c r="BR28" t="s">
        <v>116</v>
      </c>
      <c r="BS28" t="s">
        <v>785</v>
      </c>
      <c r="BT28" t="str">
        <f>HYPERLINK("https%3A%2F%2Fwww.webofscience.com%2Fwos%2Fwoscc%2Ffull-record%2FWOS:000864524300004","View Full Record in Web of Science")</f>
        <v>View Full Record in Web of Science</v>
      </c>
      <c r="BW28" s="6" t="s">
        <v>365</v>
      </c>
      <c r="BX28" s="10" t="s">
        <v>786</v>
      </c>
      <c r="BY28" s="10" t="s">
        <v>289</v>
      </c>
      <c r="BZ28" t="s">
        <v>787</v>
      </c>
      <c r="CA28" s="10" t="s">
        <v>788</v>
      </c>
      <c r="CB28" s="7" t="s">
        <v>122</v>
      </c>
      <c r="CC28" s="7" t="s">
        <v>123</v>
      </c>
      <c r="CD28" s="7" t="s">
        <v>694</v>
      </c>
      <c r="CE28" s="7" t="s">
        <v>211</v>
      </c>
      <c r="CF28" s="8" t="s">
        <v>789</v>
      </c>
    </row>
    <row r="29" spans="1:84" ht="240">
      <c r="A29" t="s">
        <v>83</v>
      </c>
      <c r="B29" t="s">
        <v>790</v>
      </c>
      <c r="C29" t="s">
        <v>85</v>
      </c>
      <c r="D29" t="s">
        <v>85</v>
      </c>
      <c r="E29" t="s">
        <v>85</v>
      </c>
      <c r="F29" t="s">
        <v>791</v>
      </c>
      <c r="G29" t="s">
        <v>85</v>
      </c>
      <c r="H29" t="s">
        <v>85</v>
      </c>
      <c r="I29" s="5" t="s">
        <v>792</v>
      </c>
      <c r="J29" t="s">
        <v>793</v>
      </c>
      <c r="K29" t="s">
        <v>85</v>
      </c>
      <c r="L29" t="s">
        <v>85</v>
      </c>
      <c r="M29" t="s">
        <v>89</v>
      </c>
      <c r="N29" t="s">
        <v>90</v>
      </c>
      <c r="O29" t="s">
        <v>85</v>
      </c>
      <c r="P29" t="s">
        <v>85</v>
      </c>
      <c r="Q29" t="s">
        <v>85</v>
      </c>
      <c r="R29" t="s">
        <v>85</v>
      </c>
      <c r="S29" t="s">
        <v>85</v>
      </c>
      <c r="T29" t="s">
        <v>794</v>
      </c>
      <c r="U29" t="s">
        <v>795</v>
      </c>
      <c r="V29" s="5" t="s">
        <v>796</v>
      </c>
      <c r="W29" t="s">
        <v>797</v>
      </c>
      <c r="X29" t="s">
        <v>798</v>
      </c>
      <c r="Y29" t="s">
        <v>799</v>
      </c>
      <c r="Z29" t="s">
        <v>800</v>
      </c>
      <c r="AA29" t="s">
        <v>85</v>
      </c>
      <c r="AB29" t="s">
        <v>85</v>
      </c>
      <c r="AC29" t="s">
        <v>801</v>
      </c>
      <c r="AD29" t="s">
        <v>802</v>
      </c>
      <c r="AE29" t="s">
        <v>803</v>
      </c>
      <c r="AF29" t="s">
        <v>85</v>
      </c>
      <c r="AG29">
        <v>76</v>
      </c>
      <c r="AH29">
        <v>3</v>
      </c>
      <c r="AI29">
        <v>3</v>
      </c>
      <c r="AJ29">
        <v>26</v>
      </c>
      <c r="AK29">
        <v>38</v>
      </c>
      <c r="AL29" t="s">
        <v>193</v>
      </c>
      <c r="AM29" t="s">
        <v>194</v>
      </c>
      <c r="AN29" t="s">
        <v>195</v>
      </c>
      <c r="AO29" t="s">
        <v>804</v>
      </c>
      <c r="AP29" t="s">
        <v>805</v>
      </c>
      <c r="AQ29" t="s">
        <v>85</v>
      </c>
      <c r="AR29" t="s">
        <v>806</v>
      </c>
      <c r="AS29" t="s">
        <v>807</v>
      </c>
      <c r="AT29" t="s">
        <v>808</v>
      </c>
      <c r="AU29" s="6">
        <v>2023</v>
      </c>
      <c r="AV29">
        <v>858</v>
      </c>
      <c r="AW29" t="s">
        <v>85</v>
      </c>
      <c r="AX29">
        <v>3</v>
      </c>
      <c r="AY29" t="s">
        <v>85</v>
      </c>
      <c r="AZ29" t="s">
        <v>85</v>
      </c>
      <c r="BA29" t="s">
        <v>85</v>
      </c>
      <c r="BB29" t="s">
        <v>85</v>
      </c>
      <c r="BC29" t="s">
        <v>85</v>
      </c>
      <c r="BD29">
        <v>160193</v>
      </c>
      <c r="BE29" t="s">
        <v>809</v>
      </c>
      <c r="BF29" t="str">
        <f>HYPERLINK("http://dx.doi.org/10.1016/j.scitotenv.2022.160193","http://dx.doi.org/10.1016/j.scitotenv.2022.160193")</f>
        <v>http://dx.doi.org/10.1016/j.scitotenv.2022.160193</v>
      </c>
      <c r="BG29" t="s">
        <v>85</v>
      </c>
      <c r="BH29" t="s">
        <v>810</v>
      </c>
      <c r="BI29">
        <v>10</v>
      </c>
      <c r="BJ29" s="6" t="s">
        <v>111</v>
      </c>
      <c r="BK29" t="s">
        <v>112</v>
      </c>
      <c r="BL29" t="s">
        <v>113</v>
      </c>
      <c r="BM29" t="s">
        <v>811</v>
      </c>
      <c r="BN29">
        <v>36384175</v>
      </c>
      <c r="BO29" t="s">
        <v>206</v>
      </c>
      <c r="BP29" t="s">
        <v>85</v>
      </c>
      <c r="BQ29" t="s">
        <v>85</v>
      </c>
      <c r="BR29" t="s">
        <v>116</v>
      </c>
      <c r="BS29" t="s">
        <v>812</v>
      </c>
      <c r="BT29" t="str">
        <f>HYPERLINK("https%3A%2F%2Fwww.webofscience.com%2Fwos%2Fwoscc%2Ffull-record%2FWOS:000902115600011","View Full Record in Web of Science")</f>
        <v>View Full Record in Web of Science</v>
      </c>
      <c r="BW29" s="6" t="s">
        <v>491</v>
      </c>
      <c r="BX29" s="10" t="s">
        <v>813</v>
      </c>
      <c r="BY29" s="10" t="s">
        <v>289</v>
      </c>
      <c r="BZ29" t="s">
        <v>814</v>
      </c>
      <c r="CA29" s="10" t="s">
        <v>815</v>
      </c>
      <c r="CB29" s="7" t="s">
        <v>122</v>
      </c>
      <c r="CC29" s="7" t="s">
        <v>123</v>
      </c>
      <c r="CD29" s="7" t="s">
        <v>694</v>
      </c>
      <c r="CE29" s="7" t="s">
        <v>211</v>
      </c>
      <c r="CF29" s="8" t="s">
        <v>816</v>
      </c>
    </row>
    <row r="30" spans="1:84" ht="240">
      <c r="A30" t="s">
        <v>83</v>
      </c>
      <c r="B30" t="s">
        <v>817</v>
      </c>
      <c r="C30" t="s">
        <v>85</v>
      </c>
      <c r="D30" t="s">
        <v>85</v>
      </c>
      <c r="E30" t="s">
        <v>85</v>
      </c>
      <c r="F30" t="s">
        <v>818</v>
      </c>
      <c r="G30" t="s">
        <v>85</v>
      </c>
      <c r="H30" t="s">
        <v>85</v>
      </c>
      <c r="I30" s="5" t="s">
        <v>819</v>
      </c>
      <c r="J30" t="s">
        <v>793</v>
      </c>
      <c r="K30" t="s">
        <v>85</v>
      </c>
      <c r="L30" t="s">
        <v>85</v>
      </c>
      <c r="M30" t="s">
        <v>89</v>
      </c>
      <c r="N30" t="s">
        <v>90</v>
      </c>
      <c r="O30" t="s">
        <v>85</v>
      </c>
      <c r="P30" t="s">
        <v>85</v>
      </c>
      <c r="Q30" t="s">
        <v>85</v>
      </c>
      <c r="R30" t="s">
        <v>85</v>
      </c>
      <c r="S30" t="s">
        <v>85</v>
      </c>
      <c r="T30" t="s">
        <v>820</v>
      </c>
      <c r="U30" t="s">
        <v>821</v>
      </c>
      <c r="V30" s="5" t="s">
        <v>822</v>
      </c>
      <c r="W30" t="s">
        <v>823</v>
      </c>
      <c r="X30" t="s">
        <v>824</v>
      </c>
      <c r="Y30" t="s">
        <v>825</v>
      </c>
      <c r="Z30" t="s">
        <v>826</v>
      </c>
      <c r="AA30" t="s">
        <v>827</v>
      </c>
      <c r="AB30" t="s">
        <v>828</v>
      </c>
      <c r="AC30" t="s">
        <v>829</v>
      </c>
      <c r="AD30" t="s">
        <v>830</v>
      </c>
      <c r="AE30" t="s">
        <v>831</v>
      </c>
      <c r="AF30" t="s">
        <v>85</v>
      </c>
      <c r="AG30">
        <v>100</v>
      </c>
      <c r="AH30">
        <v>0</v>
      </c>
      <c r="AI30">
        <v>0</v>
      </c>
      <c r="AJ30">
        <v>12</v>
      </c>
      <c r="AK30">
        <v>27</v>
      </c>
      <c r="AL30" t="s">
        <v>193</v>
      </c>
      <c r="AM30" t="s">
        <v>194</v>
      </c>
      <c r="AN30" t="s">
        <v>195</v>
      </c>
      <c r="AO30" t="s">
        <v>804</v>
      </c>
      <c r="AP30" t="s">
        <v>805</v>
      </c>
      <c r="AQ30" t="s">
        <v>85</v>
      </c>
      <c r="AR30" t="s">
        <v>806</v>
      </c>
      <c r="AS30" t="s">
        <v>807</v>
      </c>
      <c r="AT30" t="s">
        <v>808</v>
      </c>
      <c r="AU30" s="6">
        <v>2023</v>
      </c>
      <c r="AV30">
        <v>858</v>
      </c>
      <c r="AW30" t="s">
        <v>85</v>
      </c>
      <c r="AX30">
        <v>3</v>
      </c>
      <c r="AY30" t="s">
        <v>85</v>
      </c>
      <c r="AZ30" t="s">
        <v>85</v>
      </c>
      <c r="BA30" t="s">
        <v>85</v>
      </c>
      <c r="BB30" t="s">
        <v>85</v>
      </c>
      <c r="BC30" t="s">
        <v>85</v>
      </c>
      <c r="BD30">
        <v>160028</v>
      </c>
      <c r="BE30" t="s">
        <v>832</v>
      </c>
      <c r="BF30" t="str">
        <f>HYPERLINK("http://dx.doi.org/10.1016/j.scitotenv.2022.160028","http://dx.doi.org/10.1016/j.scitotenv.2022.160028")</f>
        <v>http://dx.doi.org/10.1016/j.scitotenv.2022.160028</v>
      </c>
      <c r="BG30" t="s">
        <v>85</v>
      </c>
      <c r="BH30" t="s">
        <v>810</v>
      </c>
      <c r="BI30">
        <v>10</v>
      </c>
      <c r="BJ30" s="6" t="s">
        <v>111</v>
      </c>
      <c r="BK30" t="s">
        <v>112</v>
      </c>
      <c r="BL30" t="s">
        <v>113</v>
      </c>
      <c r="BM30" t="s">
        <v>833</v>
      </c>
      <c r="BN30">
        <v>36368384</v>
      </c>
      <c r="BO30" t="s">
        <v>85</v>
      </c>
      <c r="BP30" t="s">
        <v>85</v>
      </c>
      <c r="BQ30" t="s">
        <v>85</v>
      </c>
      <c r="BR30" t="s">
        <v>116</v>
      </c>
      <c r="BS30" t="s">
        <v>834</v>
      </c>
      <c r="BT30" t="str">
        <f>HYPERLINK("https%3A%2F%2Fwww.webofscience.com%2Fwos%2Fwoscc%2Ffull-record%2FWOS:000905229500006","View Full Record in Web of Science")</f>
        <v>View Full Record in Web of Science</v>
      </c>
      <c r="BW30" s="6" t="s">
        <v>365</v>
      </c>
      <c r="BX30" s="10" t="s">
        <v>835</v>
      </c>
      <c r="BY30" s="10" t="s">
        <v>289</v>
      </c>
      <c r="CA30" s="10" t="s">
        <v>836</v>
      </c>
      <c r="CB30" s="7" t="s">
        <v>122</v>
      </c>
      <c r="CC30" s="7" t="s">
        <v>123</v>
      </c>
      <c r="CD30" s="7" t="s">
        <v>694</v>
      </c>
      <c r="CE30" s="7" t="s">
        <v>211</v>
      </c>
      <c r="CF30" s="8" t="s">
        <v>409</v>
      </c>
    </row>
    <row r="31" spans="1:84" ht="165">
      <c r="A31" t="s">
        <v>83</v>
      </c>
      <c r="B31" t="s">
        <v>837</v>
      </c>
      <c r="C31" t="s">
        <v>85</v>
      </c>
      <c r="D31" t="s">
        <v>85</v>
      </c>
      <c r="E31" t="s">
        <v>85</v>
      </c>
      <c r="F31" t="s">
        <v>838</v>
      </c>
      <c r="G31" t="s">
        <v>85</v>
      </c>
      <c r="H31" t="s">
        <v>85</v>
      </c>
      <c r="I31" s="5" t="s">
        <v>839</v>
      </c>
      <c r="J31" t="s">
        <v>840</v>
      </c>
      <c r="K31" t="s">
        <v>85</v>
      </c>
      <c r="L31" t="s">
        <v>85</v>
      </c>
      <c r="M31" t="s">
        <v>89</v>
      </c>
      <c r="N31" t="s">
        <v>628</v>
      </c>
      <c r="O31" t="s">
        <v>85</v>
      </c>
      <c r="P31" t="s">
        <v>85</v>
      </c>
      <c r="Q31" t="s">
        <v>85</v>
      </c>
      <c r="R31" t="s">
        <v>85</v>
      </c>
      <c r="S31" t="s">
        <v>85</v>
      </c>
      <c r="T31" t="s">
        <v>841</v>
      </c>
      <c r="U31" t="s">
        <v>842</v>
      </c>
      <c r="V31" s="5" t="s">
        <v>843</v>
      </c>
      <c r="W31" t="s">
        <v>844</v>
      </c>
      <c r="X31" t="s">
        <v>845</v>
      </c>
      <c r="Y31" t="s">
        <v>846</v>
      </c>
      <c r="Z31" t="s">
        <v>847</v>
      </c>
      <c r="AA31" t="s">
        <v>848</v>
      </c>
      <c r="AB31" t="s">
        <v>849</v>
      </c>
      <c r="AC31" t="s">
        <v>850</v>
      </c>
      <c r="AD31" t="s">
        <v>851</v>
      </c>
      <c r="AE31" t="s">
        <v>852</v>
      </c>
      <c r="AF31" t="s">
        <v>85</v>
      </c>
      <c r="AG31">
        <v>60</v>
      </c>
      <c r="AH31">
        <v>4</v>
      </c>
      <c r="AI31">
        <v>4</v>
      </c>
      <c r="AJ31">
        <v>16</v>
      </c>
      <c r="AK31">
        <v>29</v>
      </c>
      <c r="AL31" t="s">
        <v>853</v>
      </c>
      <c r="AM31" t="s">
        <v>854</v>
      </c>
      <c r="AN31" t="s">
        <v>855</v>
      </c>
      <c r="AO31" t="s">
        <v>856</v>
      </c>
      <c r="AP31" t="s">
        <v>857</v>
      </c>
      <c r="AQ31" t="s">
        <v>85</v>
      </c>
      <c r="AR31" t="s">
        <v>858</v>
      </c>
      <c r="AS31" t="s">
        <v>859</v>
      </c>
      <c r="AT31" t="s">
        <v>860</v>
      </c>
      <c r="AU31" s="6">
        <v>2022</v>
      </c>
      <c r="AV31" t="s">
        <v>85</v>
      </c>
      <c r="AW31" t="s">
        <v>85</v>
      </c>
      <c r="AX31" t="s">
        <v>85</v>
      </c>
      <c r="AY31" t="s">
        <v>85</v>
      </c>
      <c r="AZ31" t="s">
        <v>85</v>
      </c>
      <c r="BA31" t="s">
        <v>85</v>
      </c>
      <c r="BB31" t="s">
        <v>85</v>
      </c>
      <c r="BC31" t="s">
        <v>85</v>
      </c>
      <c r="BD31" t="s">
        <v>85</v>
      </c>
      <c r="BE31" t="s">
        <v>861</v>
      </c>
      <c r="BF31" t="str">
        <f>HYPERLINK("http://dx.doi.org/10.1080/09654313.2022.2139594","http://dx.doi.org/10.1080/09654313.2022.2139594")</f>
        <v>http://dx.doi.org/10.1080/09654313.2022.2139594</v>
      </c>
      <c r="BG31" t="s">
        <v>85</v>
      </c>
      <c r="BH31" t="s">
        <v>810</v>
      </c>
      <c r="BI31">
        <v>24</v>
      </c>
      <c r="BJ31" s="6" t="s">
        <v>862</v>
      </c>
      <c r="BK31" t="s">
        <v>146</v>
      </c>
      <c r="BL31" t="s">
        <v>863</v>
      </c>
      <c r="BM31" t="s">
        <v>864</v>
      </c>
      <c r="BN31" t="s">
        <v>85</v>
      </c>
      <c r="BO31" t="s">
        <v>784</v>
      </c>
      <c r="BP31" t="s">
        <v>85</v>
      </c>
      <c r="BQ31" t="s">
        <v>85</v>
      </c>
      <c r="BR31" t="s">
        <v>116</v>
      </c>
      <c r="BS31" t="s">
        <v>865</v>
      </c>
      <c r="BT31" t="str">
        <f>HYPERLINK("https%3A%2F%2Fwww.webofscience.com%2Fwos%2Fwoscc%2Ffull-record%2FWOS:000882833600001","View Full Record in Web of Science")</f>
        <v>View Full Record in Web of Science</v>
      </c>
      <c r="BW31" s="6" t="s">
        <v>149</v>
      </c>
      <c r="BX31" s="10" t="s">
        <v>866</v>
      </c>
      <c r="BY31" s="10" t="s">
        <v>289</v>
      </c>
      <c r="BZ31" t="s">
        <v>867</v>
      </c>
      <c r="CA31" s="10" t="s">
        <v>868</v>
      </c>
      <c r="CB31" s="7" t="s">
        <v>122</v>
      </c>
      <c r="CC31" s="7" t="s">
        <v>123</v>
      </c>
      <c r="CD31" t="s">
        <v>869</v>
      </c>
      <c r="CE31" s="7" t="s">
        <v>118</v>
      </c>
      <c r="CF31" t="s">
        <v>870</v>
      </c>
    </row>
    <row r="32" spans="1:84" ht="105">
      <c r="A32" t="s">
        <v>83</v>
      </c>
      <c r="B32" t="s">
        <v>871</v>
      </c>
      <c r="C32" t="s">
        <v>85</v>
      </c>
      <c r="D32" t="s">
        <v>85</v>
      </c>
      <c r="E32" t="s">
        <v>85</v>
      </c>
      <c r="F32" t="s">
        <v>872</v>
      </c>
      <c r="G32" t="s">
        <v>85</v>
      </c>
      <c r="H32" t="s">
        <v>85</v>
      </c>
      <c r="I32" s="5" t="s">
        <v>873</v>
      </c>
      <c r="J32" t="s">
        <v>874</v>
      </c>
      <c r="K32" t="s">
        <v>85</v>
      </c>
      <c r="L32" t="s">
        <v>85</v>
      </c>
      <c r="M32" t="s">
        <v>89</v>
      </c>
      <c r="N32" t="s">
        <v>90</v>
      </c>
      <c r="O32" t="s">
        <v>85</v>
      </c>
      <c r="P32" t="s">
        <v>85</v>
      </c>
      <c r="Q32" t="s">
        <v>85</v>
      </c>
      <c r="R32" t="s">
        <v>85</v>
      </c>
      <c r="S32" t="s">
        <v>85</v>
      </c>
      <c r="T32" t="s">
        <v>875</v>
      </c>
      <c r="U32" t="s">
        <v>876</v>
      </c>
      <c r="V32" s="5" t="s">
        <v>877</v>
      </c>
      <c r="W32" t="s">
        <v>878</v>
      </c>
      <c r="X32" t="s">
        <v>879</v>
      </c>
      <c r="Y32" t="s">
        <v>880</v>
      </c>
      <c r="Z32" t="s">
        <v>881</v>
      </c>
      <c r="AA32" t="s">
        <v>882</v>
      </c>
      <c r="AB32" t="s">
        <v>883</v>
      </c>
      <c r="AC32" t="s">
        <v>85</v>
      </c>
      <c r="AD32" t="s">
        <v>85</v>
      </c>
      <c r="AE32" t="s">
        <v>85</v>
      </c>
      <c r="AF32" t="s">
        <v>85</v>
      </c>
      <c r="AG32">
        <v>87</v>
      </c>
      <c r="AH32">
        <v>0</v>
      </c>
      <c r="AI32">
        <v>0</v>
      </c>
      <c r="AJ32">
        <v>14</v>
      </c>
      <c r="AK32">
        <v>23</v>
      </c>
      <c r="AL32" t="s">
        <v>137</v>
      </c>
      <c r="AM32" t="s">
        <v>138</v>
      </c>
      <c r="AN32" t="s">
        <v>139</v>
      </c>
      <c r="AO32" t="s">
        <v>85</v>
      </c>
      <c r="AP32" t="s">
        <v>884</v>
      </c>
      <c r="AQ32" t="s">
        <v>85</v>
      </c>
      <c r="AR32" t="s">
        <v>885</v>
      </c>
      <c r="AS32" t="s">
        <v>886</v>
      </c>
      <c r="AT32" t="s">
        <v>887</v>
      </c>
      <c r="AU32" s="6">
        <v>2022</v>
      </c>
      <c r="AV32">
        <v>19</v>
      </c>
      <c r="AW32">
        <v>22</v>
      </c>
      <c r="AX32" t="s">
        <v>85</v>
      </c>
      <c r="AY32" t="s">
        <v>85</v>
      </c>
      <c r="AZ32" t="s">
        <v>85</v>
      </c>
      <c r="BA32" t="s">
        <v>85</v>
      </c>
      <c r="BB32" t="s">
        <v>85</v>
      </c>
      <c r="BC32" t="s">
        <v>85</v>
      </c>
      <c r="BD32">
        <v>15018</v>
      </c>
      <c r="BE32" t="s">
        <v>888</v>
      </c>
      <c r="BF32" t="str">
        <f>HYPERLINK("http://dx.doi.org/10.3390/ijerph192215018","http://dx.doi.org/10.3390/ijerph192215018")</f>
        <v>http://dx.doi.org/10.3390/ijerph192215018</v>
      </c>
      <c r="BG32" t="s">
        <v>85</v>
      </c>
      <c r="BH32" t="s">
        <v>85</v>
      </c>
      <c r="BI32">
        <v>20</v>
      </c>
      <c r="BJ32" s="6" t="s">
        <v>889</v>
      </c>
      <c r="BK32" t="s">
        <v>171</v>
      </c>
      <c r="BL32" t="s">
        <v>890</v>
      </c>
      <c r="BM32" t="s">
        <v>891</v>
      </c>
      <c r="BN32">
        <v>36429735</v>
      </c>
      <c r="BO32" t="s">
        <v>236</v>
      </c>
      <c r="BP32" t="s">
        <v>85</v>
      </c>
      <c r="BQ32" t="s">
        <v>85</v>
      </c>
      <c r="BR32" t="s">
        <v>116</v>
      </c>
      <c r="BS32" t="s">
        <v>892</v>
      </c>
      <c r="BT32" t="str">
        <f>HYPERLINK("https%3A%2F%2Fwww.webofscience.com%2Fwos%2Fwoscc%2Ffull-record%2FWOS:000887286300001","View Full Record in Web of Science")</f>
        <v>View Full Record in Web of Science</v>
      </c>
      <c r="BW32" s="6" t="s">
        <v>149</v>
      </c>
      <c r="BX32" s="10" t="s">
        <v>893</v>
      </c>
      <c r="BY32" s="10" t="s">
        <v>289</v>
      </c>
      <c r="BZ32" t="s">
        <v>894</v>
      </c>
      <c r="CA32" s="10" t="s">
        <v>895</v>
      </c>
      <c r="CB32" s="7" t="s">
        <v>122</v>
      </c>
      <c r="CC32" s="7" t="s">
        <v>123</v>
      </c>
      <c r="CD32" s="7" t="s">
        <v>896</v>
      </c>
      <c r="CE32" s="7" t="s">
        <v>408</v>
      </c>
      <c r="CF32" t="s">
        <v>897</v>
      </c>
    </row>
    <row r="33" spans="1:84" ht="165">
      <c r="A33" t="s">
        <v>83</v>
      </c>
      <c r="B33" t="s">
        <v>898</v>
      </c>
      <c r="C33" t="s">
        <v>85</v>
      </c>
      <c r="D33" t="s">
        <v>85</v>
      </c>
      <c r="E33" t="s">
        <v>85</v>
      </c>
      <c r="F33" t="s">
        <v>899</v>
      </c>
      <c r="G33" t="s">
        <v>85</v>
      </c>
      <c r="H33" t="s">
        <v>85</v>
      </c>
      <c r="I33" s="5" t="s">
        <v>900</v>
      </c>
      <c r="J33" t="s">
        <v>264</v>
      </c>
      <c r="K33" t="s">
        <v>85</v>
      </c>
      <c r="L33" t="s">
        <v>85</v>
      </c>
      <c r="M33" t="s">
        <v>89</v>
      </c>
      <c r="N33" t="s">
        <v>90</v>
      </c>
      <c r="O33" t="s">
        <v>85</v>
      </c>
      <c r="P33" t="s">
        <v>85</v>
      </c>
      <c r="Q33" t="s">
        <v>85</v>
      </c>
      <c r="R33" t="s">
        <v>85</v>
      </c>
      <c r="S33" t="s">
        <v>85</v>
      </c>
      <c r="T33" t="s">
        <v>901</v>
      </c>
      <c r="U33" t="s">
        <v>902</v>
      </c>
      <c r="V33" s="5" t="s">
        <v>903</v>
      </c>
      <c r="W33" t="s">
        <v>904</v>
      </c>
      <c r="X33" t="s">
        <v>905</v>
      </c>
      <c r="Y33" t="s">
        <v>906</v>
      </c>
      <c r="Z33" t="s">
        <v>907</v>
      </c>
      <c r="AA33" t="s">
        <v>85</v>
      </c>
      <c r="AB33" t="s">
        <v>908</v>
      </c>
      <c r="AC33" t="s">
        <v>909</v>
      </c>
      <c r="AD33" t="s">
        <v>910</v>
      </c>
      <c r="AE33" t="s">
        <v>911</v>
      </c>
      <c r="AF33" t="s">
        <v>85</v>
      </c>
      <c r="AG33">
        <v>94</v>
      </c>
      <c r="AH33">
        <v>6</v>
      </c>
      <c r="AI33">
        <v>6</v>
      </c>
      <c r="AJ33">
        <v>45</v>
      </c>
      <c r="AK33">
        <v>61</v>
      </c>
      <c r="AL33" t="s">
        <v>275</v>
      </c>
      <c r="AM33" t="s">
        <v>276</v>
      </c>
      <c r="AN33" t="s">
        <v>277</v>
      </c>
      <c r="AO33" t="s">
        <v>278</v>
      </c>
      <c r="AP33" t="s">
        <v>279</v>
      </c>
      <c r="AQ33" t="s">
        <v>85</v>
      </c>
      <c r="AR33" t="s">
        <v>280</v>
      </c>
      <c r="AS33" t="s">
        <v>281</v>
      </c>
      <c r="AT33" t="s">
        <v>761</v>
      </c>
      <c r="AU33" s="6">
        <v>2022</v>
      </c>
      <c r="AV33">
        <v>78</v>
      </c>
      <c r="AW33" t="s">
        <v>85</v>
      </c>
      <c r="AX33" t="s">
        <v>85</v>
      </c>
      <c r="AY33" t="s">
        <v>85</v>
      </c>
      <c r="AZ33" t="s">
        <v>85</v>
      </c>
      <c r="BA33" t="s">
        <v>85</v>
      </c>
      <c r="BB33" t="s">
        <v>85</v>
      </c>
      <c r="BC33" t="s">
        <v>85</v>
      </c>
      <c r="BD33">
        <v>127772</v>
      </c>
      <c r="BE33" t="s">
        <v>912</v>
      </c>
      <c r="BF33" t="str">
        <f>HYPERLINK("http://dx.doi.org/10.1016/j.ufug.2022.127772","http://dx.doi.org/10.1016/j.ufug.2022.127772")</f>
        <v>http://dx.doi.org/10.1016/j.ufug.2022.127772</v>
      </c>
      <c r="BG33" t="s">
        <v>85</v>
      </c>
      <c r="BH33" t="s">
        <v>810</v>
      </c>
      <c r="BI33">
        <v>16</v>
      </c>
      <c r="BJ33" s="6" t="s">
        <v>284</v>
      </c>
      <c r="BK33" t="s">
        <v>171</v>
      </c>
      <c r="BL33" t="s">
        <v>285</v>
      </c>
      <c r="BM33" t="s">
        <v>913</v>
      </c>
      <c r="BN33" t="s">
        <v>85</v>
      </c>
      <c r="BO33" t="s">
        <v>85</v>
      </c>
      <c r="BP33" t="s">
        <v>85</v>
      </c>
      <c r="BQ33" t="s">
        <v>85</v>
      </c>
      <c r="BR33" t="s">
        <v>116</v>
      </c>
      <c r="BS33" t="s">
        <v>914</v>
      </c>
      <c r="BT33" t="str">
        <f>HYPERLINK("https%3A%2F%2Fwww.webofscience.com%2Fwos%2Fwoscc%2Ffull-record%2FWOS:000886053300003","View Full Record in Web of Science")</f>
        <v>View Full Record in Web of Science</v>
      </c>
      <c r="BW33" s="6" t="s">
        <v>365</v>
      </c>
      <c r="BX33" s="10" t="s">
        <v>915</v>
      </c>
      <c r="BY33" s="10" t="s">
        <v>289</v>
      </c>
      <c r="BZ33" t="s">
        <v>916</v>
      </c>
      <c r="CA33" s="10" t="s">
        <v>917</v>
      </c>
      <c r="CB33" s="7" t="s">
        <v>122</v>
      </c>
      <c r="CC33" s="7" t="s">
        <v>123</v>
      </c>
      <c r="CD33" s="7" t="s">
        <v>918</v>
      </c>
      <c r="CE33" s="7" t="s">
        <v>211</v>
      </c>
      <c r="CF33" t="s">
        <v>154</v>
      </c>
    </row>
    <row r="34" spans="1:84" ht="150">
      <c r="A34" t="s">
        <v>83</v>
      </c>
      <c r="B34" t="s">
        <v>919</v>
      </c>
      <c r="C34" t="s">
        <v>85</v>
      </c>
      <c r="D34" t="s">
        <v>85</v>
      </c>
      <c r="E34" t="s">
        <v>85</v>
      </c>
      <c r="F34" t="s">
        <v>920</v>
      </c>
      <c r="G34" t="s">
        <v>85</v>
      </c>
      <c r="H34" t="s">
        <v>85</v>
      </c>
      <c r="I34" s="5" t="s">
        <v>921</v>
      </c>
      <c r="J34" t="s">
        <v>922</v>
      </c>
      <c r="K34" t="s">
        <v>85</v>
      </c>
      <c r="L34" t="s">
        <v>85</v>
      </c>
      <c r="M34" t="s">
        <v>89</v>
      </c>
      <c r="N34" t="s">
        <v>90</v>
      </c>
      <c r="O34" t="s">
        <v>85</v>
      </c>
      <c r="P34" t="s">
        <v>85</v>
      </c>
      <c r="Q34" t="s">
        <v>85</v>
      </c>
      <c r="R34" t="s">
        <v>85</v>
      </c>
      <c r="S34" t="s">
        <v>85</v>
      </c>
      <c r="T34" t="s">
        <v>923</v>
      </c>
      <c r="U34" t="s">
        <v>924</v>
      </c>
      <c r="V34" s="5" t="s">
        <v>925</v>
      </c>
      <c r="W34" t="s">
        <v>926</v>
      </c>
      <c r="X34" t="s">
        <v>927</v>
      </c>
      <c r="Y34" t="s">
        <v>928</v>
      </c>
      <c r="Z34" t="s">
        <v>929</v>
      </c>
      <c r="AA34" t="s">
        <v>930</v>
      </c>
      <c r="AB34" t="s">
        <v>931</v>
      </c>
      <c r="AC34" t="s">
        <v>932</v>
      </c>
      <c r="AD34" t="s">
        <v>933</v>
      </c>
      <c r="AE34" t="s">
        <v>934</v>
      </c>
      <c r="AF34" t="s">
        <v>85</v>
      </c>
      <c r="AG34">
        <v>143</v>
      </c>
      <c r="AH34">
        <v>4</v>
      </c>
      <c r="AI34">
        <v>4</v>
      </c>
      <c r="AJ34">
        <v>45</v>
      </c>
      <c r="AK34">
        <v>59</v>
      </c>
      <c r="AL34" t="s">
        <v>935</v>
      </c>
      <c r="AM34" t="s">
        <v>936</v>
      </c>
      <c r="AN34" t="s">
        <v>937</v>
      </c>
      <c r="AO34" t="s">
        <v>938</v>
      </c>
      <c r="AP34" t="s">
        <v>85</v>
      </c>
      <c r="AQ34" t="s">
        <v>85</v>
      </c>
      <c r="AR34" t="s">
        <v>939</v>
      </c>
      <c r="AS34" t="s">
        <v>940</v>
      </c>
      <c r="AT34" t="s">
        <v>941</v>
      </c>
      <c r="AU34" s="6">
        <v>2022</v>
      </c>
      <c r="AV34">
        <v>4</v>
      </c>
      <c r="AW34">
        <v>11</v>
      </c>
      <c r="AX34" t="s">
        <v>85</v>
      </c>
      <c r="AY34" t="s">
        <v>85</v>
      </c>
      <c r="AZ34" t="s">
        <v>85</v>
      </c>
      <c r="BA34" t="s">
        <v>85</v>
      </c>
      <c r="BB34" t="s">
        <v>85</v>
      </c>
      <c r="BC34" t="s">
        <v>85</v>
      </c>
      <c r="BD34">
        <v>115002</v>
      </c>
      <c r="BE34" t="s">
        <v>942</v>
      </c>
      <c r="BF34" t="str">
        <f>HYPERLINK("http://dx.doi.org/10.1088/2515-7620/ac9515","http://dx.doi.org/10.1088/2515-7620/ac9515")</f>
        <v>http://dx.doi.org/10.1088/2515-7620/ac9515</v>
      </c>
      <c r="BG34" t="s">
        <v>85</v>
      </c>
      <c r="BH34" t="s">
        <v>85</v>
      </c>
      <c r="BI34">
        <v>34</v>
      </c>
      <c r="BJ34" s="6" t="s">
        <v>111</v>
      </c>
      <c r="BK34" t="s">
        <v>112</v>
      </c>
      <c r="BL34" t="s">
        <v>113</v>
      </c>
      <c r="BM34" t="s">
        <v>943</v>
      </c>
      <c r="BN34" t="s">
        <v>85</v>
      </c>
      <c r="BO34" t="s">
        <v>115</v>
      </c>
      <c r="BP34" t="s">
        <v>85</v>
      </c>
      <c r="BQ34" t="s">
        <v>85</v>
      </c>
      <c r="BR34" t="s">
        <v>116</v>
      </c>
      <c r="BS34" t="s">
        <v>944</v>
      </c>
      <c r="BT34" t="str">
        <f>HYPERLINK("https%3A%2F%2Fwww.webofscience.com%2Fwos%2Fwoscc%2Ffull-record%2FWOS:000878382400001","View Full Record in Web of Science")</f>
        <v>View Full Record in Web of Science</v>
      </c>
      <c r="BW34" s="6" t="s">
        <v>149</v>
      </c>
      <c r="BX34" s="10" t="s">
        <v>945</v>
      </c>
      <c r="BY34" s="10" t="s">
        <v>289</v>
      </c>
      <c r="BZ34" t="s">
        <v>946</v>
      </c>
      <c r="CA34" s="10" t="s">
        <v>947</v>
      </c>
      <c r="CB34" s="7" t="s">
        <v>122</v>
      </c>
      <c r="CC34" s="7" t="s">
        <v>123</v>
      </c>
      <c r="CD34" s="7" t="s">
        <v>694</v>
      </c>
      <c r="CE34" s="7" t="s">
        <v>211</v>
      </c>
      <c r="CF34" t="s">
        <v>154</v>
      </c>
    </row>
    <row r="35" spans="1:84" ht="210">
      <c r="A35" t="s">
        <v>83</v>
      </c>
      <c r="B35" t="s">
        <v>948</v>
      </c>
      <c r="C35" t="s">
        <v>85</v>
      </c>
      <c r="D35" t="s">
        <v>85</v>
      </c>
      <c r="E35" t="s">
        <v>85</v>
      </c>
      <c r="F35" t="s">
        <v>949</v>
      </c>
      <c r="G35" t="s">
        <v>85</v>
      </c>
      <c r="H35" t="s">
        <v>85</v>
      </c>
      <c r="I35" s="5" t="s">
        <v>950</v>
      </c>
      <c r="J35" t="s">
        <v>951</v>
      </c>
      <c r="K35" t="s">
        <v>85</v>
      </c>
      <c r="L35" t="s">
        <v>85</v>
      </c>
      <c r="M35" t="s">
        <v>89</v>
      </c>
      <c r="N35" t="s">
        <v>90</v>
      </c>
      <c r="O35" t="s">
        <v>85</v>
      </c>
      <c r="P35" t="s">
        <v>85</v>
      </c>
      <c r="Q35" t="s">
        <v>85</v>
      </c>
      <c r="R35" t="s">
        <v>85</v>
      </c>
      <c r="S35" t="s">
        <v>85</v>
      </c>
      <c r="T35" t="s">
        <v>952</v>
      </c>
      <c r="U35" t="s">
        <v>953</v>
      </c>
      <c r="V35" s="5" t="s">
        <v>954</v>
      </c>
      <c r="W35" t="s">
        <v>955</v>
      </c>
      <c r="X35" t="s">
        <v>956</v>
      </c>
      <c r="Y35" t="s">
        <v>957</v>
      </c>
      <c r="Z35" t="s">
        <v>958</v>
      </c>
      <c r="AA35" t="s">
        <v>959</v>
      </c>
      <c r="AB35" t="s">
        <v>85</v>
      </c>
      <c r="AC35" t="s">
        <v>85</v>
      </c>
      <c r="AD35" t="s">
        <v>85</v>
      </c>
      <c r="AE35" t="s">
        <v>85</v>
      </c>
      <c r="AF35" t="s">
        <v>85</v>
      </c>
      <c r="AG35">
        <v>77</v>
      </c>
      <c r="AH35">
        <v>8</v>
      </c>
      <c r="AI35">
        <v>8</v>
      </c>
      <c r="AJ35">
        <v>45</v>
      </c>
      <c r="AK35">
        <v>64</v>
      </c>
      <c r="AL35" t="s">
        <v>225</v>
      </c>
      <c r="AM35" t="s">
        <v>226</v>
      </c>
      <c r="AN35" t="s">
        <v>227</v>
      </c>
      <c r="AO35" t="s">
        <v>960</v>
      </c>
      <c r="AP35" t="s">
        <v>85</v>
      </c>
      <c r="AQ35" t="s">
        <v>85</v>
      </c>
      <c r="AR35" t="s">
        <v>961</v>
      </c>
      <c r="AS35" t="s">
        <v>962</v>
      </c>
      <c r="AT35" t="s">
        <v>963</v>
      </c>
      <c r="AU35" s="6">
        <v>2022</v>
      </c>
      <c r="AV35">
        <v>10</v>
      </c>
      <c r="AW35" t="s">
        <v>85</v>
      </c>
      <c r="AX35" t="s">
        <v>85</v>
      </c>
      <c r="AY35" t="s">
        <v>85</v>
      </c>
      <c r="AZ35" t="s">
        <v>85</v>
      </c>
      <c r="BA35" t="s">
        <v>85</v>
      </c>
      <c r="BB35" t="s">
        <v>85</v>
      </c>
      <c r="BC35" t="s">
        <v>85</v>
      </c>
      <c r="BD35">
        <v>969538</v>
      </c>
      <c r="BE35" t="s">
        <v>964</v>
      </c>
      <c r="BF35" t="str">
        <f>HYPERLINK("http://dx.doi.org/10.3389/fevo.2022.969538","http://dx.doi.org/10.3389/fevo.2022.969538")</f>
        <v>http://dx.doi.org/10.3389/fevo.2022.969538</v>
      </c>
      <c r="BG35" t="s">
        <v>85</v>
      </c>
      <c r="BH35" t="s">
        <v>85</v>
      </c>
      <c r="BI35">
        <v>18</v>
      </c>
      <c r="BJ35" s="6" t="s">
        <v>965</v>
      </c>
      <c r="BK35" t="s">
        <v>112</v>
      </c>
      <c r="BL35" t="s">
        <v>113</v>
      </c>
      <c r="BM35" t="s">
        <v>966</v>
      </c>
      <c r="BN35" t="s">
        <v>85</v>
      </c>
      <c r="BO35" t="s">
        <v>115</v>
      </c>
      <c r="BP35" t="s">
        <v>85</v>
      </c>
      <c r="BQ35" t="s">
        <v>85</v>
      </c>
      <c r="BR35" t="s">
        <v>116</v>
      </c>
      <c r="BS35" t="s">
        <v>967</v>
      </c>
      <c r="BT35" t="str">
        <f>HYPERLINK("https%3A%2F%2Fwww.webofscience.com%2Fwos%2Fwoscc%2Ffull-record%2FWOS:000873743500001","View Full Record in Web of Science")</f>
        <v>View Full Record in Web of Science</v>
      </c>
      <c r="BW35" s="6" t="s">
        <v>365</v>
      </c>
      <c r="BX35" s="10" t="s">
        <v>968</v>
      </c>
      <c r="BY35" s="10" t="s">
        <v>289</v>
      </c>
      <c r="BZ35" t="s">
        <v>916</v>
      </c>
      <c r="CA35" s="10" t="s">
        <v>969</v>
      </c>
      <c r="CB35" s="7" t="s">
        <v>122</v>
      </c>
      <c r="CC35" s="7" t="s">
        <v>123</v>
      </c>
      <c r="CD35" s="7" t="s">
        <v>694</v>
      </c>
      <c r="CE35" s="7" t="s">
        <v>211</v>
      </c>
      <c r="CF35" t="s">
        <v>154</v>
      </c>
    </row>
    <row r="36" spans="1:84" ht="150">
      <c r="A36" t="s">
        <v>83</v>
      </c>
      <c r="B36" t="s">
        <v>970</v>
      </c>
      <c r="C36" t="s">
        <v>85</v>
      </c>
      <c r="D36" t="s">
        <v>85</v>
      </c>
      <c r="E36" t="s">
        <v>85</v>
      </c>
      <c r="F36" t="s">
        <v>971</v>
      </c>
      <c r="G36" t="s">
        <v>85</v>
      </c>
      <c r="H36" t="s">
        <v>85</v>
      </c>
      <c r="I36" s="5" t="s">
        <v>972</v>
      </c>
      <c r="J36" t="s">
        <v>312</v>
      </c>
      <c r="K36" t="s">
        <v>85</v>
      </c>
      <c r="L36" t="s">
        <v>85</v>
      </c>
      <c r="M36" t="s">
        <v>89</v>
      </c>
      <c r="N36" t="s">
        <v>90</v>
      </c>
      <c r="O36" t="s">
        <v>85</v>
      </c>
      <c r="P36" t="s">
        <v>85</v>
      </c>
      <c r="Q36" t="s">
        <v>85</v>
      </c>
      <c r="R36" t="s">
        <v>85</v>
      </c>
      <c r="S36" t="s">
        <v>85</v>
      </c>
      <c r="T36" t="s">
        <v>973</v>
      </c>
      <c r="U36" t="s">
        <v>974</v>
      </c>
      <c r="V36" s="5" t="s">
        <v>975</v>
      </c>
      <c r="W36" t="s">
        <v>976</v>
      </c>
      <c r="X36" t="s">
        <v>977</v>
      </c>
      <c r="Y36" t="s">
        <v>978</v>
      </c>
      <c r="Z36" t="s">
        <v>979</v>
      </c>
      <c r="AA36" t="s">
        <v>980</v>
      </c>
      <c r="AB36" t="s">
        <v>981</v>
      </c>
      <c r="AC36" t="s">
        <v>982</v>
      </c>
      <c r="AD36" t="s">
        <v>983</v>
      </c>
      <c r="AE36" t="s">
        <v>984</v>
      </c>
      <c r="AF36" t="s">
        <v>85</v>
      </c>
      <c r="AG36">
        <v>63</v>
      </c>
      <c r="AH36">
        <v>6</v>
      </c>
      <c r="AI36">
        <v>6</v>
      </c>
      <c r="AJ36">
        <v>29</v>
      </c>
      <c r="AK36">
        <v>35</v>
      </c>
      <c r="AL36" t="s">
        <v>193</v>
      </c>
      <c r="AM36" t="s">
        <v>194</v>
      </c>
      <c r="AN36" t="s">
        <v>195</v>
      </c>
      <c r="AO36" t="s">
        <v>325</v>
      </c>
      <c r="AP36" t="s">
        <v>326</v>
      </c>
      <c r="AQ36" t="s">
        <v>85</v>
      </c>
      <c r="AR36" t="s">
        <v>327</v>
      </c>
      <c r="AS36" t="s">
        <v>328</v>
      </c>
      <c r="AT36" t="s">
        <v>200</v>
      </c>
      <c r="AU36" s="6">
        <v>2022</v>
      </c>
      <c r="AV36">
        <v>226</v>
      </c>
      <c r="AW36" t="s">
        <v>85</v>
      </c>
      <c r="AX36" t="s">
        <v>85</v>
      </c>
      <c r="AY36" t="s">
        <v>85</v>
      </c>
      <c r="AZ36" t="s">
        <v>85</v>
      </c>
      <c r="BA36" t="s">
        <v>85</v>
      </c>
      <c r="BB36" t="s">
        <v>85</v>
      </c>
      <c r="BC36" t="s">
        <v>85</v>
      </c>
      <c r="BD36">
        <v>104505</v>
      </c>
      <c r="BE36" t="s">
        <v>985</v>
      </c>
      <c r="BF36" t="str">
        <f>HYPERLINK("http://dx.doi.org/10.1016/j.landurbplan.2022.104505","http://dx.doi.org/10.1016/j.landurbplan.2022.104505")</f>
        <v>http://dx.doi.org/10.1016/j.landurbplan.2022.104505</v>
      </c>
      <c r="BG36" t="s">
        <v>85</v>
      </c>
      <c r="BH36" t="s">
        <v>85</v>
      </c>
      <c r="BI36">
        <v>13</v>
      </c>
      <c r="BJ36" s="6" t="s">
        <v>331</v>
      </c>
      <c r="BK36" t="s">
        <v>171</v>
      </c>
      <c r="BL36" t="s">
        <v>332</v>
      </c>
      <c r="BM36" t="s">
        <v>986</v>
      </c>
      <c r="BN36" t="s">
        <v>85</v>
      </c>
      <c r="BO36" t="s">
        <v>85</v>
      </c>
      <c r="BP36" t="s">
        <v>85</v>
      </c>
      <c r="BQ36" t="s">
        <v>85</v>
      </c>
      <c r="BR36" t="s">
        <v>116</v>
      </c>
      <c r="BS36" t="s">
        <v>987</v>
      </c>
      <c r="BT36" t="str">
        <f>HYPERLINK("https%3A%2F%2Fwww.webofscience.com%2Fwos%2Fwoscc%2Ffull-record%2FWOS:000826304100001","View Full Record in Web of Science")</f>
        <v>View Full Record in Web of Science</v>
      </c>
      <c r="BW36" s="11" t="s">
        <v>149</v>
      </c>
      <c r="BX36" s="7" t="s">
        <v>988</v>
      </c>
      <c r="BY36" s="7" t="s">
        <v>289</v>
      </c>
      <c r="BZ36" s="8" t="s">
        <v>989</v>
      </c>
      <c r="CA36" s="7" t="s">
        <v>990</v>
      </c>
      <c r="CB36" s="7" t="s">
        <v>122</v>
      </c>
      <c r="CC36" s="7" t="s">
        <v>123</v>
      </c>
      <c r="CD36" s="7" t="s">
        <v>694</v>
      </c>
      <c r="CE36" s="7" t="s">
        <v>211</v>
      </c>
      <c r="CF36" s="8" t="s">
        <v>154</v>
      </c>
    </row>
    <row r="37" spans="1:84" ht="229.5">
      <c r="A37" t="s">
        <v>83</v>
      </c>
      <c r="B37" t="s">
        <v>991</v>
      </c>
      <c r="C37" t="s">
        <v>85</v>
      </c>
      <c r="D37" t="s">
        <v>85</v>
      </c>
      <c r="E37" t="s">
        <v>85</v>
      </c>
      <c r="F37" t="s">
        <v>992</v>
      </c>
      <c r="G37" t="s">
        <v>85</v>
      </c>
      <c r="H37" t="s">
        <v>85</v>
      </c>
      <c r="I37" s="5" t="s">
        <v>993</v>
      </c>
      <c r="J37" t="s">
        <v>994</v>
      </c>
      <c r="K37" t="s">
        <v>85</v>
      </c>
      <c r="L37" t="s">
        <v>85</v>
      </c>
      <c r="M37" t="s">
        <v>89</v>
      </c>
      <c r="N37" t="s">
        <v>90</v>
      </c>
      <c r="O37" t="s">
        <v>85</v>
      </c>
      <c r="P37" t="s">
        <v>85</v>
      </c>
      <c r="Q37" t="s">
        <v>85</v>
      </c>
      <c r="R37" t="s">
        <v>85</v>
      </c>
      <c r="S37" t="s">
        <v>85</v>
      </c>
      <c r="T37" t="s">
        <v>995</v>
      </c>
      <c r="U37" t="s">
        <v>996</v>
      </c>
      <c r="V37" s="9" t="s">
        <v>997</v>
      </c>
      <c r="W37" t="s">
        <v>998</v>
      </c>
      <c r="X37" t="s">
        <v>999</v>
      </c>
      <c r="Y37" t="s">
        <v>1000</v>
      </c>
      <c r="Z37" t="s">
        <v>1001</v>
      </c>
      <c r="AA37" t="s">
        <v>1002</v>
      </c>
      <c r="AB37" t="s">
        <v>1003</v>
      </c>
      <c r="AC37" t="s">
        <v>85</v>
      </c>
      <c r="AD37" t="s">
        <v>85</v>
      </c>
      <c r="AE37" t="s">
        <v>85</v>
      </c>
      <c r="AF37" t="s">
        <v>85</v>
      </c>
      <c r="AG37">
        <v>34</v>
      </c>
      <c r="AH37">
        <v>2</v>
      </c>
      <c r="AI37">
        <v>2</v>
      </c>
      <c r="AJ37">
        <v>5</v>
      </c>
      <c r="AK37">
        <v>15</v>
      </c>
      <c r="AL37" t="s">
        <v>1004</v>
      </c>
      <c r="AM37" t="s">
        <v>609</v>
      </c>
      <c r="AN37" t="s">
        <v>1005</v>
      </c>
      <c r="AO37" t="s">
        <v>1006</v>
      </c>
      <c r="AP37" t="s">
        <v>1007</v>
      </c>
      <c r="AQ37" t="s">
        <v>85</v>
      </c>
      <c r="AR37" t="s">
        <v>1008</v>
      </c>
      <c r="AS37" t="s">
        <v>1009</v>
      </c>
      <c r="AT37" t="s">
        <v>200</v>
      </c>
      <c r="AU37" s="6">
        <v>2022</v>
      </c>
      <c r="AV37">
        <v>83</v>
      </c>
      <c r="AW37" t="s">
        <v>85</v>
      </c>
      <c r="AX37" t="s">
        <v>85</v>
      </c>
      <c r="AY37" t="s">
        <v>85</v>
      </c>
      <c r="AZ37" t="s">
        <v>85</v>
      </c>
      <c r="BA37" t="s">
        <v>85</v>
      </c>
      <c r="BB37" t="s">
        <v>85</v>
      </c>
      <c r="BC37" t="s">
        <v>85</v>
      </c>
      <c r="BD37">
        <v>101864</v>
      </c>
      <c r="BE37" t="s">
        <v>1010</v>
      </c>
      <c r="BF37" t="str">
        <f>HYPERLINK("http://dx.doi.org/10.1016/j.jenvp.2022.101864","http://dx.doi.org/10.1016/j.jenvp.2022.101864")</f>
        <v>http://dx.doi.org/10.1016/j.jenvp.2022.101864</v>
      </c>
      <c r="BG37" t="s">
        <v>85</v>
      </c>
      <c r="BH37" t="s">
        <v>1011</v>
      </c>
      <c r="BI37">
        <v>8</v>
      </c>
      <c r="BJ37" s="6" t="s">
        <v>1012</v>
      </c>
      <c r="BK37" t="s">
        <v>146</v>
      </c>
      <c r="BL37" t="s">
        <v>1013</v>
      </c>
      <c r="BM37" t="s">
        <v>1014</v>
      </c>
      <c r="BN37">
        <v>35991355</v>
      </c>
      <c r="BO37" t="s">
        <v>1015</v>
      </c>
      <c r="BP37" t="s">
        <v>85</v>
      </c>
      <c r="BQ37" t="s">
        <v>85</v>
      </c>
      <c r="BR37" t="s">
        <v>116</v>
      </c>
      <c r="BS37" t="s">
        <v>1016</v>
      </c>
      <c r="BT37" t="str">
        <f>HYPERLINK("https%3A%2F%2Fwww.webofscience.com%2Fwos%2Fwoscc%2Ffull-record%2FWOS:000859867700003","View Full Record in Web of Science")</f>
        <v>View Full Record in Web of Science</v>
      </c>
      <c r="BW37" s="11" t="s">
        <v>149</v>
      </c>
      <c r="BX37" s="7" t="s">
        <v>1017</v>
      </c>
      <c r="CA37" s="7" t="s">
        <v>1018</v>
      </c>
      <c r="CB37" s="7" t="s">
        <v>122</v>
      </c>
      <c r="CC37" s="7" t="s">
        <v>123</v>
      </c>
      <c r="CD37" s="7" t="s">
        <v>1019</v>
      </c>
      <c r="CE37" s="7" t="s">
        <v>554</v>
      </c>
      <c r="CF37" s="8" t="s">
        <v>1020</v>
      </c>
    </row>
    <row r="38" spans="1:84" s="12" customFormat="1" ht="225">
      <c r="A38" s="12" t="s">
        <v>83</v>
      </c>
      <c r="B38" s="12" t="s">
        <v>1021</v>
      </c>
      <c r="C38" s="12" t="s">
        <v>85</v>
      </c>
      <c r="D38" s="12" t="s">
        <v>85</v>
      </c>
      <c r="E38" s="12" t="s">
        <v>85</v>
      </c>
      <c r="F38" s="12" t="s">
        <v>1022</v>
      </c>
      <c r="G38" s="12" t="s">
        <v>85</v>
      </c>
      <c r="H38" s="12" t="s">
        <v>85</v>
      </c>
      <c r="I38" s="13" t="s">
        <v>1023</v>
      </c>
      <c r="J38" s="12" t="s">
        <v>1024</v>
      </c>
      <c r="K38" s="12" t="s">
        <v>85</v>
      </c>
      <c r="L38" s="12" t="s">
        <v>85</v>
      </c>
      <c r="M38" s="12" t="s">
        <v>89</v>
      </c>
      <c r="N38" s="12" t="s">
        <v>90</v>
      </c>
      <c r="O38" s="12" t="s">
        <v>85</v>
      </c>
      <c r="P38" s="12" t="s">
        <v>85</v>
      </c>
      <c r="Q38" s="12" t="s">
        <v>85</v>
      </c>
      <c r="R38" s="12" t="s">
        <v>85</v>
      </c>
      <c r="S38" s="12" t="s">
        <v>85</v>
      </c>
      <c r="T38" s="12" t="s">
        <v>1025</v>
      </c>
      <c r="U38" s="12" t="s">
        <v>1026</v>
      </c>
      <c r="V38" s="13" t="s">
        <v>1027</v>
      </c>
      <c r="W38" s="12" t="s">
        <v>1028</v>
      </c>
      <c r="X38" s="12" t="s">
        <v>1029</v>
      </c>
      <c r="Y38" s="12" t="s">
        <v>1030</v>
      </c>
      <c r="Z38" s="12" t="s">
        <v>1031</v>
      </c>
      <c r="AA38" s="12" t="s">
        <v>1032</v>
      </c>
      <c r="AB38" s="12" t="s">
        <v>1033</v>
      </c>
      <c r="AC38" s="12" t="s">
        <v>1034</v>
      </c>
      <c r="AD38" s="12" t="s">
        <v>1035</v>
      </c>
      <c r="AE38" s="12" t="s">
        <v>1036</v>
      </c>
      <c r="AF38" s="12" t="s">
        <v>85</v>
      </c>
      <c r="AG38" s="12">
        <v>40</v>
      </c>
      <c r="AH38" s="12">
        <v>1</v>
      </c>
      <c r="AI38" s="12">
        <v>1</v>
      </c>
      <c r="AJ38" s="12">
        <v>3</v>
      </c>
      <c r="AK38" s="12">
        <v>10</v>
      </c>
      <c r="AL38" s="12" t="s">
        <v>680</v>
      </c>
      <c r="AM38" s="12" t="s">
        <v>102</v>
      </c>
      <c r="AN38" s="12" t="s">
        <v>681</v>
      </c>
      <c r="AO38" s="12" t="s">
        <v>1037</v>
      </c>
      <c r="AP38" s="12" t="s">
        <v>1038</v>
      </c>
      <c r="AQ38" s="12" t="s">
        <v>85</v>
      </c>
      <c r="AR38" s="12" t="s">
        <v>1039</v>
      </c>
      <c r="AS38" s="12" t="s">
        <v>1040</v>
      </c>
      <c r="AT38" s="12" t="s">
        <v>941</v>
      </c>
      <c r="AU38" s="14">
        <v>2022</v>
      </c>
      <c r="AV38" s="12">
        <v>312</v>
      </c>
      <c r="AW38" s="12" t="s">
        <v>85</v>
      </c>
      <c r="AX38" s="12" t="s">
        <v>85</v>
      </c>
      <c r="AY38" s="12" t="s">
        <v>85</v>
      </c>
      <c r="AZ38" s="12" t="s">
        <v>85</v>
      </c>
      <c r="BA38" s="12" t="s">
        <v>85</v>
      </c>
      <c r="BB38" s="12" t="s">
        <v>85</v>
      </c>
      <c r="BC38" s="12" t="s">
        <v>85</v>
      </c>
      <c r="BD38" s="12">
        <v>120046</v>
      </c>
      <c r="BE38" s="12" t="s">
        <v>1041</v>
      </c>
      <c r="BF38" s="12" t="str">
        <f>HYPERLINK("http://dx.doi.org/10.1016/j.envpol.2022.120046","http://dx.doi.org/10.1016/j.envpol.2022.120046")</f>
        <v>http://dx.doi.org/10.1016/j.envpol.2022.120046</v>
      </c>
      <c r="BG38" s="12" t="s">
        <v>85</v>
      </c>
      <c r="BH38" s="12" t="s">
        <v>1011</v>
      </c>
      <c r="BI38" s="12">
        <v>10</v>
      </c>
      <c r="BJ38" s="14" t="s">
        <v>111</v>
      </c>
      <c r="BK38" s="12" t="s">
        <v>112</v>
      </c>
      <c r="BL38" s="12" t="s">
        <v>113</v>
      </c>
      <c r="BM38" s="12" t="s">
        <v>1042</v>
      </c>
      <c r="BN38" s="12">
        <v>36049575</v>
      </c>
      <c r="BO38" s="12" t="s">
        <v>1043</v>
      </c>
      <c r="BP38" s="12" t="s">
        <v>85</v>
      </c>
      <c r="BQ38" s="12" t="s">
        <v>85</v>
      </c>
      <c r="BR38" s="12" t="s">
        <v>116</v>
      </c>
      <c r="BS38" s="12" t="s">
        <v>1044</v>
      </c>
      <c r="BT38" s="12" t="str">
        <f>HYPERLINK("https%3A%2F%2Fwww.webofscience.com%2Fwos%2Fwoscc%2Ffull-record%2FWOS:000862854900003","View Full Record in Web of Science")</f>
        <v>View Full Record in Web of Science</v>
      </c>
      <c r="BW38" s="14" t="s">
        <v>491</v>
      </c>
      <c r="BX38" s="15" t="s">
        <v>1045</v>
      </c>
      <c r="BY38" s="15" t="s">
        <v>289</v>
      </c>
      <c r="CA38" s="15" t="s">
        <v>1046</v>
      </c>
      <c r="CB38" s="15" t="s">
        <v>122</v>
      </c>
      <c r="CC38" s="12" t="s">
        <v>123</v>
      </c>
      <c r="CD38" s="12" t="s">
        <v>1047</v>
      </c>
      <c r="CE38" s="12" t="s">
        <v>211</v>
      </c>
      <c r="CF38" s="12" t="s">
        <v>260</v>
      </c>
    </row>
    <row r="39" spans="1:84" ht="165">
      <c r="A39" t="s">
        <v>83</v>
      </c>
      <c r="B39" t="s">
        <v>1048</v>
      </c>
      <c r="C39" t="s">
        <v>85</v>
      </c>
      <c r="D39" t="s">
        <v>85</v>
      </c>
      <c r="E39" t="s">
        <v>85</v>
      </c>
      <c r="F39" t="s">
        <v>1049</v>
      </c>
      <c r="G39" t="s">
        <v>85</v>
      </c>
      <c r="H39" t="s">
        <v>85</v>
      </c>
      <c r="I39" s="5" t="s">
        <v>1050</v>
      </c>
      <c r="J39" t="s">
        <v>579</v>
      </c>
      <c r="K39" t="s">
        <v>85</v>
      </c>
      <c r="L39" t="s">
        <v>85</v>
      </c>
      <c r="M39" t="s">
        <v>89</v>
      </c>
      <c r="N39" t="s">
        <v>90</v>
      </c>
      <c r="O39" t="s">
        <v>85</v>
      </c>
      <c r="P39" t="s">
        <v>85</v>
      </c>
      <c r="Q39" t="s">
        <v>85</v>
      </c>
      <c r="R39" t="s">
        <v>85</v>
      </c>
      <c r="S39" t="s">
        <v>85</v>
      </c>
      <c r="T39" t="s">
        <v>1051</v>
      </c>
      <c r="U39" t="s">
        <v>1052</v>
      </c>
      <c r="V39" s="5" t="s">
        <v>1053</v>
      </c>
      <c r="W39" t="s">
        <v>1054</v>
      </c>
      <c r="X39" t="s">
        <v>1055</v>
      </c>
      <c r="Y39" t="s">
        <v>1056</v>
      </c>
      <c r="Z39" t="s">
        <v>1057</v>
      </c>
      <c r="AA39" t="s">
        <v>85</v>
      </c>
      <c r="AB39" t="s">
        <v>1058</v>
      </c>
      <c r="AC39" t="s">
        <v>1059</v>
      </c>
      <c r="AD39" t="s">
        <v>1060</v>
      </c>
      <c r="AE39" t="s">
        <v>1061</v>
      </c>
      <c r="AF39" t="s">
        <v>85</v>
      </c>
      <c r="AG39">
        <v>62</v>
      </c>
      <c r="AH39">
        <v>1</v>
      </c>
      <c r="AI39">
        <v>1</v>
      </c>
      <c r="AJ39">
        <v>15</v>
      </c>
      <c r="AK39">
        <v>20</v>
      </c>
      <c r="AL39" t="s">
        <v>137</v>
      </c>
      <c r="AM39" t="s">
        <v>138</v>
      </c>
      <c r="AN39" t="s">
        <v>139</v>
      </c>
      <c r="AO39" t="s">
        <v>85</v>
      </c>
      <c r="AP39" t="s">
        <v>587</v>
      </c>
      <c r="AQ39" t="s">
        <v>85</v>
      </c>
      <c r="AR39" t="s">
        <v>579</v>
      </c>
      <c r="AS39" t="s">
        <v>588</v>
      </c>
      <c r="AT39" t="s">
        <v>329</v>
      </c>
      <c r="AU39" s="6">
        <v>2022</v>
      </c>
      <c r="AV39">
        <v>13</v>
      </c>
      <c r="AW39">
        <v>9</v>
      </c>
      <c r="AX39" t="s">
        <v>85</v>
      </c>
      <c r="AY39" t="s">
        <v>85</v>
      </c>
      <c r="AZ39" t="s">
        <v>85</v>
      </c>
      <c r="BA39" t="s">
        <v>85</v>
      </c>
      <c r="BB39" t="s">
        <v>85</v>
      </c>
      <c r="BC39" t="s">
        <v>85</v>
      </c>
      <c r="BD39">
        <v>1421</v>
      </c>
      <c r="BE39" t="s">
        <v>1062</v>
      </c>
      <c r="BF39" t="str">
        <f>HYPERLINK("http://dx.doi.org/10.3390/f13091421","http://dx.doi.org/10.3390/f13091421")</f>
        <v>http://dx.doi.org/10.3390/f13091421</v>
      </c>
      <c r="BG39" t="s">
        <v>85</v>
      </c>
      <c r="BH39" t="s">
        <v>85</v>
      </c>
      <c r="BI39">
        <v>17</v>
      </c>
      <c r="BJ39" s="6" t="s">
        <v>590</v>
      </c>
      <c r="BK39" t="s">
        <v>112</v>
      </c>
      <c r="BL39" t="s">
        <v>590</v>
      </c>
      <c r="BM39" t="s">
        <v>1063</v>
      </c>
      <c r="BN39" t="s">
        <v>85</v>
      </c>
      <c r="BO39" t="s">
        <v>115</v>
      </c>
      <c r="BP39" t="s">
        <v>85</v>
      </c>
      <c r="BQ39" t="s">
        <v>85</v>
      </c>
      <c r="BR39" t="s">
        <v>116</v>
      </c>
      <c r="BS39" t="s">
        <v>1064</v>
      </c>
      <c r="BT39" t="str">
        <f>HYPERLINK("https%3A%2F%2Fwww.webofscience.com%2Fwos%2Fwoscc%2Ffull-record%2FWOS:000858314500001","View Full Record in Web of Science")</f>
        <v>View Full Record in Web of Science</v>
      </c>
      <c r="BW39" s="11" t="s">
        <v>149</v>
      </c>
      <c r="BX39" s="7" t="s">
        <v>1065</v>
      </c>
      <c r="BY39" s="7" t="s">
        <v>1066</v>
      </c>
      <c r="CA39" s="7" t="s">
        <v>1067</v>
      </c>
      <c r="CB39" s="7" t="s">
        <v>122</v>
      </c>
      <c r="CC39" s="8" t="s">
        <v>123</v>
      </c>
      <c r="CD39" s="7" t="s">
        <v>694</v>
      </c>
      <c r="CE39" s="7" t="s">
        <v>1068</v>
      </c>
      <c r="CF39" s="8" t="s">
        <v>154</v>
      </c>
    </row>
    <row r="40" spans="1:84" ht="225">
      <c r="A40" t="s">
        <v>83</v>
      </c>
      <c r="B40" t="s">
        <v>1069</v>
      </c>
      <c r="C40" t="s">
        <v>85</v>
      </c>
      <c r="D40" t="s">
        <v>85</v>
      </c>
      <c r="E40" t="s">
        <v>85</v>
      </c>
      <c r="F40" t="s">
        <v>1070</v>
      </c>
      <c r="G40" t="s">
        <v>85</v>
      </c>
      <c r="H40" t="s">
        <v>85</v>
      </c>
      <c r="I40" s="5" t="s">
        <v>1071</v>
      </c>
      <c r="J40" t="s">
        <v>1072</v>
      </c>
      <c r="K40" t="s">
        <v>85</v>
      </c>
      <c r="L40" t="s">
        <v>85</v>
      </c>
      <c r="M40" t="s">
        <v>89</v>
      </c>
      <c r="N40" t="s">
        <v>90</v>
      </c>
      <c r="O40" t="s">
        <v>85</v>
      </c>
      <c r="P40" t="s">
        <v>85</v>
      </c>
      <c r="Q40" t="s">
        <v>85</v>
      </c>
      <c r="R40" t="s">
        <v>85</v>
      </c>
      <c r="S40" t="s">
        <v>85</v>
      </c>
      <c r="T40" t="s">
        <v>85</v>
      </c>
      <c r="U40" t="s">
        <v>1073</v>
      </c>
      <c r="V40" s="5" t="s">
        <v>1074</v>
      </c>
      <c r="W40" t="s">
        <v>1075</v>
      </c>
      <c r="X40" t="s">
        <v>1076</v>
      </c>
      <c r="Y40" t="s">
        <v>1077</v>
      </c>
      <c r="Z40" t="s">
        <v>1078</v>
      </c>
      <c r="AA40" t="s">
        <v>85</v>
      </c>
      <c r="AB40" t="s">
        <v>1079</v>
      </c>
      <c r="AC40" t="s">
        <v>1080</v>
      </c>
      <c r="AD40" t="s">
        <v>1081</v>
      </c>
      <c r="AE40" t="s">
        <v>1082</v>
      </c>
      <c r="AF40" t="s">
        <v>85</v>
      </c>
      <c r="AG40">
        <v>39</v>
      </c>
      <c r="AH40">
        <v>3</v>
      </c>
      <c r="AI40">
        <v>3</v>
      </c>
      <c r="AJ40">
        <v>6</v>
      </c>
      <c r="AK40">
        <v>8</v>
      </c>
      <c r="AL40" t="s">
        <v>1083</v>
      </c>
      <c r="AM40" t="s">
        <v>1084</v>
      </c>
      <c r="AN40" t="s">
        <v>1085</v>
      </c>
      <c r="AO40" t="s">
        <v>1086</v>
      </c>
      <c r="AP40" t="s">
        <v>85</v>
      </c>
      <c r="AQ40" t="s">
        <v>85</v>
      </c>
      <c r="AR40" t="s">
        <v>1072</v>
      </c>
      <c r="AS40" t="s">
        <v>1087</v>
      </c>
      <c r="AT40" t="s">
        <v>1088</v>
      </c>
      <c r="AU40" s="6">
        <v>2022</v>
      </c>
      <c r="AV40">
        <v>17</v>
      </c>
      <c r="AW40">
        <v>8</v>
      </c>
      <c r="AX40" t="s">
        <v>85</v>
      </c>
      <c r="AY40" t="s">
        <v>85</v>
      </c>
      <c r="AZ40" t="s">
        <v>85</v>
      </c>
      <c r="BA40" t="s">
        <v>85</v>
      </c>
      <c r="BB40" t="s">
        <v>85</v>
      </c>
      <c r="BC40" t="s">
        <v>85</v>
      </c>
      <c r="BD40" t="s">
        <v>1089</v>
      </c>
      <c r="BE40" t="s">
        <v>1090</v>
      </c>
      <c r="BF40" t="str">
        <f>HYPERLINK("http://dx.doi.org/10.1371/journal.pone.0271306","http://dx.doi.org/10.1371/journal.pone.0271306")</f>
        <v>http://dx.doi.org/10.1371/journal.pone.0271306</v>
      </c>
      <c r="BG40" t="s">
        <v>85</v>
      </c>
      <c r="BH40" t="s">
        <v>85</v>
      </c>
      <c r="BI40">
        <v>15</v>
      </c>
      <c r="BJ40" s="6" t="s">
        <v>456</v>
      </c>
      <c r="BK40" t="s">
        <v>112</v>
      </c>
      <c r="BL40" t="s">
        <v>457</v>
      </c>
      <c r="BM40" t="s">
        <v>1091</v>
      </c>
      <c r="BN40">
        <v>36044408</v>
      </c>
      <c r="BO40" t="s">
        <v>236</v>
      </c>
      <c r="BP40" t="s">
        <v>85</v>
      </c>
      <c r="BQ40" t="s">
        <v>85</v>
      </c>
      <c r="BR40" t="s">
        <v>116</v>
      </c>
      <c r="BS40" t="s">
        <v>1092</v>
      </c>
      <c r="BT40" t="str">
        <f>HYPERLINK("https%3A%2F%2Fwww.webofscience.com%2Fwos%2Fwoscc%2Ffull-record%2FWOS:000892368200012","View Full Record in Web of Science")</f>
        <v>View Full Record in Web of Science</v>
      </c>
      <c r="BW40" s="11" t="s">
        <v>149</v>
      </c>
      <c r="BX40" s="7" t="s">
        <v>1093</v>
      </c>
      <c r="BY40" s="7" t="s">
        <v>1094</v>
      </c>
      <c r="CA40" s="7" t="s">
        <v>1095</v>
      </c>
      <c r="CB40" s="7" t="s">
        <v>122</v>
      </c>
      <c r="CC40" s="8" t="s">
        <v>123</v>
      </c>
      <c r="CD40" s="7" t="s">
        <v>1096</v>
      </c>
      <c r="CE40" s="7" t="s">
        <v>1068</v>
      </c>
      <c r="CF40" s="8" t="s">
        <v>1097</v>
      </c>
    </row>
    <row r="41" spans="1:84" ht="135">
      <c r="A41" t="s">
        <v>83</v>
      </c>
      <c r="B41" t="s">
        <v>1098</v>
      </c>
      <c r="C41" t="s">
        <v>85</v>
      </c>
      <c r="D41" t="s">
        <v>85</v>
      </c>
      <c r="E41" t="s">
        <v>85</v>
      </c>
      <c r="F41" t="s">
        <v>1099</v>
      </c>
      <c r="G41" t="s">
        <v>85</v>
      </c>
      <c r="H41" t="s">
        <v>85</v>
      </c>
      <c r="I41" s="5" t="s">
        <v>1100</v>
      </c>
      <c r="J41" t="s">
        <v>1101</v>
      </c>
      <c r="K41" t="s">
        <v>85</v>
      </c>
      <c r="L41" t="s">
        <v>85</v>
      </c>
      <c r="M41" t="s">
        <v>89</v>
      </c>
      <c r="N41" t="s">
        <v>90</v>
      </c>
      <c r="O41" t="s">
        <v>85</v>
      </c>
      <c r="P41" t="s">
        <v>85</v>
      </c>
      <c r="Q41" t="s">
        <v>85</v>
      </c>
      <c r="R41" t="s">
        <v>85</v>
      </c>
      <c r="S41" t="s">
        <v>85</v>
      </c>
      <c r="T41" t="s">
        <v>1102</v>
      </c>
      <c r="U41" t="s">
        <v>1103</v>
      </c>
      <c r="V41" s="5" t="s">
        <v>1104</v>
      </c>
      <c r="W41" t="s">
        <v>1105</v>
      </c>
      <c r="X41" t="s">
        <v>1106</v>
      </c>
      <c r="Y41" t="s">
        <v>1107</v>
      </c>
      <c r="Z41" t="s">
        <v>1108</v>
      </c>
      <c r="AA41" t="s">
        <v>1109</v>
      </c>
      <c r="AB41" t="s">
        <v>1110</v>
      </c>
      <c r="AC41" t="s">
        <v>1111</v>
      </c>
      <c r="AD41" t="s">
        <v>1112</v>
      </c>
      <c r="AE41" t="s">
        <v>1113</v>
      </c>
      <c r="AF41" t="s">
        <v>85</v>
      </c>
      <c r="AG41">
        <v>65</v>
      </c>
      <c r="AH41">
        <v>2</v>
      </c>
      <c r="AI41">
        <v>2</v>
      </c>
      <c r="AJ41">
        <v>14</v>
      </c>
      <c r="AK41">
        <v>35</v>
      </c>
      <c r="AL41" t="s">
        <v>225</v>
      </c>
      <c r="AM41" t="s">
        <v>226</v>
      </c>
      <c r="AN41" t="s">
        <v>227</v>
      </c>
      <c r="AO41" t="s">
        <v>85</v>
      </c>
      <c r="AP41" t="s">
        <v>1114</v>
      </c>
      <c r="AQ41" t="s">
        <v>85</v>
      </c>
      <c r="AR41" t="s">
        <v>1115</v>
      </c>
      <c r="AS41" t="s">
        <v>1116</v>
      </c>
      <c r="AT41" t="s">
        <v>1117</v>
      </c>
      <c r="AU41" s="6">
        <v>2022</v>
      </c>
      <c r="AV41">
        <v>10</v>
      </c>
      <c r="AW41" t="s">
        <v>85</v>
      </c>
      <c r="AX41" t="s">
        <v>85</v>
      </c>
      <c r="AY41" t="s">
        <v>85</v>
      </c>
      <c r="AZ41" t="s">
        <v>85</v>
      </c>
      <c r="BA41" t="s">
        <v>85</v>
      </c>
      <c r="BB41" t="s">
        <v>85</v>
      </c>
      <c r="BC41" t="s">
        <v>85</v>
      </c>
      <c r="BD41">
        <v>877208</v>
      </c>
      <c r="BE41" t="s">
        <v>1118</v>
      </c>
      <c r="BF41" t="str">
        <f>HYPERLINK("http://dx.doi.org/10.3389/fpubh.2022.877208","http://dx.doi.org/10.3389/fpubh.2022.877208")</f>
        <v>http://dx.doi.org/10.3389/fpubh.2022.877208</v>
      </c>
      <c r="BG41" t="s">
        <v>85</v>
      </c>
      <c r="BH41" t="s">
        <v>85</v>
      </c>
      <c r="BI41">
        <v>7</v>
      </c>
      <c r="BJ41" s="6" t="s">
        <v>616</v>
      </c>
      <c r="BK41" t="s">
        <v>171</v>
      </c>
      <c r="BL41" t="s">
        <v>616</v>
      </c>
      <c r="BM41" t="s">
        <v>1119</v>
      </c>
      <c r="BN41">
        <v>35968417</v>
      </c>
      <c r="BO41" t="s">
        <v>1120</v>
      </c>
      <c r="BP41" t="s">
        <v>85</v>
      </c>
      <c r="BQ41" t="s">
        <v>85</v>
      </c>
      <c r="BR41" t="s">
        <v>116</v>
      </c>
      <c r="BS41" t="s">
        <v>1121</v>
      </c>
      <c r="BT41" t="str">
        <f>HYPERLINK("https%3A%2F%2Fwww.webofscience.com%2Fwos%2Fwoscc%2Ffull-record%2FWOS:000838742300001","View Full Record in Web of Science")</f>
        <v>View Full Record in Web of Science</v>
      </c>
      <c r="BW41" s="11" t="s">
        <v>491</v>
      </c>
      <c r="BX41" s="7" t="s">
        <v>1122</v>
      </c>
      <c r="BY41" s="7" t="s">
        <v>151</v>
      </c>
      <c r="CA41" s="7" t="s">
        <v>1123</v>
      </c>
      <c r="CB41" s="7" t="s">
        <v>122</v>
      </c>
      <c r="CC41" s="8" t="s">
        <v>495</v>
      </c>
      <c r="CD41" s="8"/>
      <c r="CE41" s="8"/>
      <c r="CF41" s="8" t="s">
        <v>409</v>
      </c>
    </row>
    <row r="42" spans="1:84" ht="270">
      <c r="A42" t="s">
        <v>83</v>
      </c>
      <c r="B42" t="s">
        <v>1124</v>
      </c>
      <c r="C42" t="s">
        <v>85</v>
      </c>
      <c r="D42" t="s">
        <v>85</v>
      </c>
      <c r="E42" t="s">
        <v>85</v>
      </c>
      <c r="F42" t="s">
        <v>1125</v>
      </c>
      <c r="G42" t="s">
        <v>85</v>
      </c>
      <c r="H42" t="s">
        <v>85</v>
      </c>
      <c r="I42" s="5" t="s">
        <v>1126</v>
      </c>
      <c r="J42" t="s">
        <v>724</v>
      </c>
      <c r="K42" t="s">
        <v>85</v>
      </c>
      <c r="L42" t="s">
        <v>85</v>
      </c>
      <c r="M42" t="s">
        <v>89</v>
      </c>
      <c r="N42" t="s">
        <v>90</v>
      </c>
      <c r="O42" t="s">
        <v>85</v>
      </c>
      <c r="P42" t="s">
        <v>85</v>
      </c>
      <c r="Q42" t="s">
        <v>85</v>
      </c>
      <c r="R42" t="s">
        <v>85</v>
      </c>
      <c r="S42" t="s">
        <v>85</v>
      </c>
      <c r="T42" t="s">
        <v>1127</v>
      </c>
      <c r="U42" t="s">
        <v>1128</v>
      </c>
      <c r="V42" s="5" t="s">
        <v>1129</v>
      </c>
      <c r="W42" t="s">
        <v>1130</v>
      </c>
      <c r="X42" t="s">
        <v>1131</v>
      </c>
      <c r="Y42" t="s">
        <v>1132</v>
      </c>
      <c r="Z42" t="s">
        <v>1133</v>
      </c>
      <c r="AA42" t="s">
        <v>85</v>
      </c>
      <c r="AB42" t="s">
        <v>1134</v>
      </c>
      <c r="AC42" t="s">
        <v>1135</v>
      </c>
      <c r="AD42" t="s">
        <v>1136</v>
      </c>
      <c r="AE42" t="s">
        <v>1137</v>
      </c>
      <c r="AF42" t="s">
        <v>85</v>
      </c>
      <c r="AG42">
        <v>52</v>
      </c>
      <c r="AH42">
        <v>5</v>
      </c>
      <c r="AI42">
        <v>5</v>
      </c>
      <c r="AJ42">
        <v>6</v>
      </c>
      <c r="AK42">
        <v>20</v>
      </c>
      <c r="AL42" t="s">
        <v>352</v>
      </c>
      <c r="AM42" t="s">
        <v>353</v>
      </c>
      <c r="AN42" t="s">
        <v>354</v>
      </c>
      <c r="AO42" t="s">
        <v>85</v>
      </c>
      <c r="AP42" t="s">
        <v>737</v>
      </c>
      <c r="AQ42" t="s">
        <v>85</v>
      </c>
      <c r="AR42" t="s">
        <v>738</v>
      </c>
      <c r="AS42" t="s">
        <v>739</v>
      </c>
      <c r="AT42" t="s">
        <v>200</v>
      </c>
      <c r="AU42" s="6">
        <v>2022</v>
      </c>
      <c r="AV42">
        <v>4</v>
      </c>
      <c r="AW42">
        <v>5</v>
      </c>
      <c r="AX42" t="s">
        <v>85</v>
      </c>
      <c r="AY42" t="s">
        <v>85</v>
      </c>
      <c r="AZ42" t="s">
        <v>85</v>
      </c>
      <c r="BA42" t="s">
        <v>85</v>
      </c>
      <c r="BB42">
        <v>1216</v>
      </c>
      <c r="BC42">
        <v>1232</v>
      </c>
      <c r="BD42" t="s">
        <v>85</v>
      </c>
      <c r="BE42" t="s">
        <v>1138</v>
      </c>
      <c r="BF42" t="str">
        <f>HYPERLINK("http://dx.doi.org/10.1002/pan3.10381","http://dx.doi.org/10.1002/pan3.10381")</f>
        <v>http://dx.doi.org/10.1002/pan3.10381</v>
      </c>
      <c r="BG42" t="s">
        <v>85</v>
      </c>
      <c r="BH42" t="s">
        <v>1139</v>
      </c>
      <c r="BI42">
        <v>17</v>
      </c>
      <c r="BJ42" s="6" t="s">
        <v>741</v>
      </c>
      <c r="BK42" t="s">
        <v>112</v>
      </c>
      <c r="BL42" t="s">
        <v>204</v>
      </c>
      <c r="BM42" t="s">
        <v>1140</v>
      </c>
      <c r="BN42" t="s">
        <v>85</v>
      </c>
      <c r="BO42" t="s">
        <v>1015</v>
      </c>
      <c r="BP42" t="s">
        <v>85</v>
      </c>
      <c r="BQ42" t="s">
        <v>85</v>
      </c>
      <c r="BR42" t="s">
        <v>116</v>
      </c>
      <c r="BS42" t="s">
        <v>1141</v>
      </c>
      <c r="BT42" t="str">
        <f>HYPERLINK("https%3A%2F%2Fwww.webofscience.com%2Fwos%2Fwoscc%2Ffull-record%2FWOS:000821502700001","View Full Record in Web of Science")</f>
        <v>View Full Record in Web of Science</v>
      </c>
      <c r="BW42" s="11" t="s">
        <v>491</v>
      </c>
      <c r="BX42" s="7" t="s">
        <v>1142</v>
      </c>
      <c r="BY42" s="7" t="s">
        <v>151</v>
      </c>
      <c r="CA42" s="7" t="s">
        <v>1143</v>
      </c>
      <c r="CB42" s="7" t="s">
        <v>122</v>
      </c>
      <c r="CC42" s="8" t="s">
        <v>123</v>
      </c>
      <c r="CD42" s="7" t="s">
        <v>1144</v>
      </c>
      <c r="CE42" s="7" t="s">
        <v>1068</v>
      </c>
      <c r="CF42" s="8" t="s">
        <v>1145</v>
      </c>
    </row>
    <row r="43" spans="1:84" ht="180">
      <c r="A43" t="s">
        <v>83</v>
      </c>
      <c r="B43" t="s">
        <v>1146</v>
      </c>
      <c r="C43" t="s">
        <v>85</v>
      </c>
      <c r="D43" t="s">
        <v>85</v>
      </c>
      <c r="E43" t="s">
        <v>85</v>
      </c>
      <c r="F43" t="s">
        <v>1147</v>
      </c>
      <c r="G43" t="s">
        <v>85</v>
      </c>
      <c r="H43" t="s">
        <v>85</v>
      </c>
      <c r="I43" s="5" t="s">
        <v>1148</v>
      </c>
      <c r="J43" t="s">
        <v>312</v>
      </c>
      <c r="K43" t="s">
        <v>85</v>
      </c>
      <c r="L43" t="s">
        <v>85</v>
      </c>
      <c r="M43" t="s">
        <v>89</v>
      </c>
      <c r="N43" t="s">
        <v>90</v>
      </c>
      <c r="O43" t="s">
        <v>85</v>
      </c>
      <c r="P43" t="s">
        <v>85</v>
      </c>
      <c r="Q43" t="s">
        <v>85</v>
      </c>
      <c r="R43" t="s">
        <v>85</v>
      </c>
      <c r="S43" t="s">
        <v>85</v>
      </c>
      <c r="T43" t="s">
        <v>1149</v>
      </c>
      <c r="U43" t="s">
        <v>1150</v>
      </c>
      <c r="V43" s="5" t="s">
        <v>1151</v>
      </c>
      <c r="W43" t="s">
        <v>1152</v>
      </c>
      <c r="X43" t="s">
        <v>1153</v>
      </c>
      <c r="Y43" t="s">
        <v>1154</v>
      </c>
      <c r="Z43" t="s">
        <v>1155</v>
      </c>
      <c r="AA43" t="s">
        <v>85</v>
      </c>
      <c r="AB43" t="s">
        <v>1156</v>
      </c>
      <c r="AC43" t="s">
        <v>1157</v>
      </c>
      <c r="AD43" t="s">
        <v>1158</v>
      </c>
      <c r="AE43" t="s">
        <v>1159</v>
      </c>
      <c r="AF43" t="s">
        <v>85</v>
      </c>
      <c r="AG43">
        <v>62</v>
      </c>
      <c r="AH43">
        <v>3</v>
      </c>
      <c r="AI43">
        <v>3</v>
      </c>
      <c r="AJ43">
        <v>21</v>
      </c>
      <c r="AK43">
        <v>72</v>
      </c>
      <c r="AL43" t="s">
        <v>193</v>
      </c>
      <c r="AM43" t="s">
        <v>194</v>
      </c>
      <c r="AN43" t="s">
        <v>195</v>
      </c>
      <c r="AO43" t="s">
        <v>325</v>
      </c>
      <c r="AP43" t="s">
        <v>326</v>
      </c>
      <c r="AQ43" t="s">
        <v>85</v>
      </c>
      <c r="AR43" t="s">
        <v>327</v>
      </c>
      <c r="AS43" t="s">
        <v>328</v>
      </c>
      <c r="AT43" t="s">
        <v>200</v>
      </c>
      <c r="AU43" s="6">
        <v>2022</v>
      </c>
      <c r="AV43">
        <v>226</v>
      </c>
      <c r="AW43" t="s">
        <v>85</v>
      </c>
      <c r="AX43" t="s">
        <v>85</v>
      </c>
      <c r="AY43" t="s">
        <v>85</v>
      </c>
      <c r="AZ43" t="s">
        <v>85</v>
      </c>
      <c r="BA43" t="s">
        <v>85</v>
      </c>
      <c r="BB43" t="s">
        <v>85</v>
      </c>
      <c r="BC43" t="s">
        <v>85</v>
      </c>
      <c r="BD43">
        <v>104510</v>
      </c>
      <c r="BE43" t="s">
        <v>1160</v>
      </c>
      <c r="BF43" t="str">
        <f>HYPERLINK("http://dx.doi.org/10.1016/j.landurbplan.2022.104510","http://dx.doi.org/10.1016/j.landurbplan.2022.104510")</f>
        <v>http://dx.doi.org/10.1016/j.landurbplan.2022.104510</v>
      </c>
      <c r="BG43" t="s">
        <v>85</v>
      </c>
      <c r="BH43" t="s">
        <v>1139</v>
      </c>
      <c r="BI43">
        <v>12</v>
      </c>
      <c r="BJ43" s="6" t="s">
        <v>331</v>
      </c>
      <c r="BK43" t="s">
        <v>171</v>
      </c>
      <c r="BL43" t="s">
        <v>332</v>
      </c>
      <c r="BM43" t="s">
        <v>1161</v>
      </c>
      <c r="BN43" t="s">
        <v>85</v>
      </c>
      <c r="BO43" t="s">
        <v>1162</v>
      </c>
      <c r="BP43" t="s">
        <v>85</v>
      </c>
      <c r="BQ43" t="s">
        <v>85</v>
      </c>
      <c r="BR43" t="s">
        <v>116</v>
      </c>
      <c r="BS43" t="s">
        <v>1163</v>
      </c>
      <c r="BT43" t="str">
        <f>HYPERLINK("https%3A%2F%2Fwww.webofscience.com%2Fwos%2Fwoscc%2Ffull-record%2FWOS:000827265400002","View Full Record in Web of Science")</f>
        <v>View Full Record in Web of Science</v>
      </c>
      <c r="BW43" s="11" t="s">
        <v>491</v>
      </c>
      <c r="BX43" s="7" t="s">
        <v>1164</v>
      </c>
      <c r="BY43" s="7" t="s">
        <v>1165</v>
      </c>
      <c r="CA43" s="7" t="s">
        <v>1166</v>
      </c>
      <c r="CB43" s="7" t="s">
        <v>122</v>
      </c>
      <c r="CC43" s="8" t="s">
        <v>123</v>
      </c>
      <c r="CD43" s="7" t="s">
        <v>1167</v>
      </c>
      <c r="CE43" s="7" t="s">
        <v>1068</v>
      </c>
      <c r="CF43" s="8" t="s">
        <v>1097</v>
      </c>
    </row>
    <row r="44" spans="1:84" ht="225">
      <c r="A44" t="s">
        <v>83</v>
      </c>
      <c r="B44" t="s">
        <v>1168</v>
      </c>
      <c r="C44" t="s">
        <v>85</v>
      </c>
      <c r="D44" t="s">
        <v>85</v>
      </c>
      <c r="E44" t="s">
        <v>85</v>
      </c>
      <c r="F44" t="s">
        <v>1169</v>
      </c>
      <c r="G44" t="s">
        <v>85</v>
      </c>
      <c r="H44" t="s">
        <v>85</v>
      </c>
      <c r="I44" s="5" t="s">
        <v>1170</v>
      </c>
      <c r="J44" t="s">
        <v>724</v>
      </c>
      <c r="K44" t="s">
        <v>85</v>
      </c>
      <c r="L44" t="s">
        <v>85</v>
      </c>
      <c r="M44" t="s">
        <v>89</v>
      </c>
      <c r="N44" t="s">
        <v>90</v>
      </c>
      <c r="O44" t="s">
        <v>85</v>
      </c>
      <c r="P44" t="s">
        <v>85</v>
      </c>
      <c r="Q44" t="s">
        <v>85</v>
      </c>
      <c r="R44" t="s">
        <v>85</v>
      </c>
      <c r="S44" t="s">
        <v>85</v>
      </c>
      <c r="T44" t="s">
        <v>1171</v>
      </c>
      <c r="U44" t="s">
        <v>1172</v>
      </c>
      <c r="V44" s="5" t="s">
        <v>1173</v>
      </c>
      <c r="W44" t="s">
        <v>1174</v>
      </c>
      <c r="X44" t="s">
        <v>1175</v>
      </c>
      <c r="Y44" t="s">
        <v>1176</v>
      </c>
      <c r="Z44" t="s">
        <v>1177</v>
      </c>
      <c r="AA44" t="s">
        <v>1178</v>
      </c>
      <c r="AB44" t="s">
        <v>1179</v>
      </c>
      <c r="AC44" t="s">
        <v>1180</v>
      </c>
      <c r="AD44" t="s">
        <v>1181</v>
      </c>
      <c r="AE44" t="s">
        <v>1182</v>
      </c>
      <c r="AF44" t="s">
        <v>85</v>
      </c>
      <c r="AG44">
        <v>54</v>
      </c>
      <c r="AH44">
        <v>5</v>
      </c>
      <c r="AI44">
        <v>5</v>
      </c>
      <c r="AJ44">
        <v>17</v>
      </c>
      <c r="AK44">
        <v>49</v>
      </c>
      <c r="AL44" t="s">
        <v>352</v>
      </c>
      <c r="AM44" t="s">
        <v>353</v>
      </c>
      <c r="AN44" t="s">
        <v>354</v>
      </c>
      <c r="AO44" t="s">
        <v>85</v>
      </c>
      <c r="AP44" t="s">
        <v>737</v>
      </c>
      <c r="AQ44" t="s">
        <v>85</v>
      </c>
      <c r="AR44" t="s">
        <v>738</v>
      </c>
      <c r="AS44" t="s">
        <v>739</v>
      </c>
      <c r="AT44" t="s">
        <v>200</v>
      </c>
      <c r="AU44" s="6">
        <v>2022</v>
      </c>
      <c r="AV44">
        <v>4</v>
      </c>
      <c r="AW44">
        <v>5</v>
      </c>
      <c r="AX44" t="s">
        <v>85</v>
      </c>
      <c r="AY44" t="s">
        <v>85</v>
      </c>
      <c r="AZ44" t="s">
        <v>85</v>
      </c>
      <c r="BA44" t="s">
        <v>85</v>
      </c>
      <c r="BB44">
        <v>1176</v>
      </c>
      <c r="BC44">
        <v>1189</v>
      </c>
      <c r="BD44" t="s">
        <v>85</v>
      </c>
      <c r="BE44" t="s">
        <v>1183</v>
      </c>
      <c r="BF44" t="str">
        <f>HYPERLINK("http://dx.doi.org/10.1002/pan3.10366","http://dx.doi.org/10.1002/pan3.10366")</f>
        <v>http://dx.doi.org/10.1002/pan3.10366</v>
      </c>
      <c r="BG44" t="s">
        <v>85</v>
      </c>
      <c r="BH44" t="s">
        <v>1184</v>
      </c>
      <c r="BI44">
        <v>14</v>
      </c>
      <c r="BJ44" s="6" t="s">
        <v>741</v>
      </c>
      <c r="BK44" t="s">
        <v>112</v>
      </c>
      <c r="BL44" t="s">
        <v>204</v>
      </c>
      <c r="BM44" t="s">
        <v>1140</v>
      </c>
      <c r="BN44" t="s">
        <v>85</v>
      </c>
      <c r="BO44" t="s">
        <v>115</v>
      </c>
      <c r="BP44" t="s">
        <v>85</v>
      </c>
      <c r="BQ44" t="s">
        <v>85</v>
      </c>
      <c r="BR44" t="s">
        <v>116</v>
      </c>
      <c r="BS44" t="s">
        <v>1185</v>
      </c>
      <c r="BT44" t="str">
        <f>HYPERLINK("https%3A%2F%2Fwww.webofscience.com%2Fwos%2Fwoscc%2Ffull-record%2FWOS:000819205500001","View Full Record in Web of Science")</f>
        <v>View Full Record in Web of Science</v>
      </c>
      <c r="BW44" s="11" t="s">
        <v>149</v>
      </c>
      <c r="BX44" s="7" t="s">
        <v>1186</v>
      </c>
      <c r="BY44" s="7" t="s">
        <v>151</v>
      </c>
      <c r="CA44" s="7" t="s">
        <v>1187</v>
      </c>
      <c r="CB44" s="10" t="s">
        <v>494</v>
      </c>
      <c r="CC44" s="8" t="s">
        <v>123</v>
      </c>
      <c r="CD44" s="7" t="s">
        <v>1019</v>
      </c>
      <c r="CE44" s="7" t="s">
        <v>1068</v>
      </c>
      <c r="CF44" s="8" t="s">
        <v>1188</v>
      </c>
    </row>
    <row r="45" spans="1:84" ht="180">
      <c r="A45" t="s">
        <v>83</v>
      </c>
      <c r="B45" t="s">
        <v>1189</v>
      </c>
      <c r="C45" t="s">
        <v>85</v>
      </c>
      <c r="D45" t="s">
        <v>85</v>
      </c>
      <c r="E45" t="s">
        <v>85</v>
      </c>
      <c r="F45" t="s">
        <v>1190</v>
      </c>
      <c r="G45" t="s">
        <v>85</v>
      </c>
      <c r="H45" t="s">
        <v>85</v>
      </c>
      <c r="I45" s="5" t="s">
        <v>1191</v>
      </c>
      <c r="J45" t="s">
        <v>1192</v>
      </c>
      <c r="K45" t="s">
        <v>85</v>
      </c>
      <c r="L45" t="s">
        <v>85</v>
      </c>
      <c r="M45" t="s">
        <v>89</v>
      </c>
      <c r="N45" t="s">
        <v>90</v>
      </c>
      <c r="O45" t="s">
        <v>85</v>
      </c>
      <c r="P45" t="s">
        <v>85</v>
      </c>
      <c r="Q45" t="s">
        <v>85</v>
      </c>
      <c r="R45" t="s">
        <v>85</v>
      </c>
      <c r="S45" t="s">
        <v>85</v>
      </c>
      <c r="T45" t="s">
        <v>1193</v>
      </c>
      <c r="U45" t="s">
        <v>1194</v>
      </c>
      <c r="V45" s="5" t="s">
        <v>1195</v>
      </c>
      <c r="W45" t="s">
        <v>1196</v>
      </c>
      <c r="X45" t="s">
        <v>1197</v>
      </c>
      <c r="Y45" t="s">
        <v>1198</v>
      </c>
      <c r="Z45" t="s">
        <v>1199</v>
      </c>
      <c r="AA45" t="s">
        <v>1200</v>
      </c>
      <c r="AB45" t="s">
        <v>1201</v>
      </c>
      <c r="AC45" t="s">
        <v>1202</v>
      </c>
      <c r="AD45" t="s">
        <v>1203</v>
      </c>
      <c r="AE45" t="s">
        <v>1204</v>
      </c>
      <c r="AF45" t="s">
        <v>85</v>
      </c>
      <c r="AG45">
        <v>57</v>
      </c>
      <c r="AH45">
        <v>5</v>
      </c>
      <c r="AI45">
        <v>5</v>
      </c>
      <c r="AJ45">
        <v>37</v>
      </c>
      <c r="AK45">
        <v>123</v>
      </c>
      <c r="AL45" t="s">
        <v>680</v>
      </c>
      <c r="AM45" t="s">
        <v>102</v>
      </c>
      <c r="AN45" t="s">
        <v>681</v>
      </c>
      <c r="AO45" t="s">
        <v>1205</v>
      </c>
      <c r="AP45" t="s">
        <v>1206</v>
      </c>
      <c r="AQ45" t="s">
        <v>85</v>
      </c>
      <c r="AR45" t="s">
        <v>1192</v>
      </c>
      <c r="AS45" t="s">
        <v>1207</v>
      </c>
      <c r="AT45" t="s">
        <v>200</v>
      </c>
      <c r="AU45" s="6">
        <v>2022</v>
      </c>
      <c r="AV45">
        <v>129</v>
      </c>
      <c r="AW45" t="s">
        <v>85</v>
      </c>
      <c r="AX45" t="s">
        <v>85</v>
      </c>
      <c r="AY45" t="s">
        <v>85</v>
      </c>
      <c r="AZ45" t="s">
        <v>85</v>
      </c>
      <c r="BA45" t="s">
        <v>85</v>
      </c>
      <c r="BB45" t="s">
        <v>85</v>
      </c>
      <c r="BC45" t="s">
        <v>85</v>
      </c>
      <c r="BD45">
        <v>103839</v>
      </c>
      <c r="BE45" t="s">
        <v>1208</v>
      </c>
      <c r="BF45" t="str">
        <f>HYPERLINK("http://dx.doi.org/10.1016/j.cities.2022.103839","http://dx.doi.org/10.1016/j.cities.2022.103839")</f>
        <v>http://dx.doi.org/10.1016/j.cities.2022.103839</v>
      </c>
      <c r="BG45" t="s">
        <v>85</v>
      </c>
      <c r="BH45" t="s">
        <v>1184</v>
      </c>
      <c r="BI45">
        <v>13</v>
      </c>
      <c r="BJ45" s="6" t="s">
        <v>1209</v>
      </c>
      <c r="BK45" t="s">
        <v>146</v>
      </c>
      <c r="BL45" t="s">
        <v>1209</v>
      </c>
      <c r="BM45" t="s">
        <v>1210</v>
      </c>
      <c r="BN45" t="s">
        <v>85</v>
      </c>
      <c r="BO45" t="s">
        <v>85</v>
      </c>
      <c r="BP45" t="s">
        <v>85</v>
      </c>
      <c r="BQ45" t="s">
        <v>85</v>
      </c>
      <c r="BR45" t="s">
        <v>116</v>
      </c>
      <c r="BS45" t="s">
        <v>1211</v>
      </c>
      <c r="BT45" t="str">
        <f>HYPERLINK("https%3A%2F%2Fwww.webofscience.com%2Fwos%2Fwoscc%2Ffull-record%2FWOS:000852654800003","View Full Record in Web of Science")</f>
        <v>View Full Record in Web of Science</v>
      </c>
      <c r="BW45" s="11" t="s">
        <v>149</v>
      </c>
      <c r="BX45" s="7" t="s">
        <v>1212</v>
      </c>
      <c r="BY45" s="7" t="s">
        <v>151</v>
      </c>
      <c r="CA45" s="7" t="s">
        <v>1213</v>
      </c>
      <c r="CB45" s="10" t="s">
        <v>122</v>
      </c>
      <c r="CC45" s="8" t="s">
        <v>123</v>
      </c>
      <c r="CD45" s="7" t="s">
        <v>1019</v>
      </c>
      <c r="CE45" s="7" t="s">
        <v>1068</v>
      </c>
      <c r="CF45" s="8" t="s">
        <v>1214</v>
      </c>
    </row>
    <row r="46" spans="1:84" ht="165">
      <c r="A46" t="s">
        <v>83</v>
      </c>
      <c r="B46" t="s">
        <v>1215</v>
      </c>
      <c r="C46" t="s">
        <v>85</v>
      </c>
      <c r="D46" t="s">
        <v>85</v>
      </c>
      <c r="E46" t="s">
        <v>85</v>
      </c>
      <c r="F46" t="s">
        <v>1216</v>
      </c>
      <c r="G46" t="s">
        <v>85</v>
      </c>
      <c r="H46" t="s">
        <v>85</v>
      </c>
      <c r="I46" s="5" t="s">
        <v>1217</v>
      </c>
      <c r="J46" t="s">
        <v>1192</v>
      </c>
      <c r="K46" t="s">
        <v>85</v>
      </c>
      <c r="L46" t="s">
        <v>85</v>
      </c>
      <c r="M46" t="s">
        <v>89</v>
      </c>
      <c r="N46" t="s">
        <v>90</v>
      </c>
      <c r="O46" t="s">
        <v>85</v>
      </c>
      <c r="P46" t="s">
        <v>85</v>
      </c>
      <c r="Q46" t="s">
        <v>85</v>
      </c>
      <c r="R46" t="s">
        <v>85</v>
      </c>
      <c r="S46" t="s">
        <v>85</v>
      </c>
      <c r="T46" t="s">
        <v>1218</v>
      </c>
      <c r="U46" t="s">
        <v>1219</v>
      </c>
      <c r="V46" s="5" t="s">
        <v>1220</v>
      </c>
      <c r="W46" t="s">
        <v>1221</v>
      </c>
      <c r="X46" t="s">
        <v>1222</v>
      </c>
      <c r="Y46" t="s">
        <v>1223</v>
      </c>
      <c r="Z46" t="s">
        <v>1224</v>
      </c>
      <c r="AA46" t="s">
        <v>85</v>
      </c>
      <c r="AB46" t="s">
        <v>85</v>
      </c>
      <c r="AC46" t="s">
        <v>1225</v>
      </c>
      <c r="AD46" t="s">
        <v>1226</v>
      </c>
      <c r="AE46" t="s">
        <v>1227</v>
      </c>
      <c r="AF46" t="s">
        <v>85</v>
      </c>
      <c r="AG46">
        <v>93</v>
      </c>
      <c r="AH46">
        <v>0</v>
      </c>
      <c r="AI46">
        <v>0</v>
      </c>
      <c r="AJ46">
        <v>9</v>
      </c>
      <c r="AK46">
        <v>32</v>
      </c>
      <c r="AL46" t="s">
        <v>680</v>
      </c>
      <c r="AM46" t="s">
        <v>102</v>
      </c>
      <c r="AN46" t="s">
        <v>681</v>
      </c>
      <c r="AO46" t="s">
        <v>1205</v>
      </c>
      <c r="AP46" t="s">
        <v>1206</v>
      </c>
      <c r="AQ46" t="s">
        <v>85</v>
      </c>
      <c r="AR46" t="s">
        <v>1192</v>
      </c>
      <c r="AS46" t="s">
        <v>1207</v>
      </c>
      <c r="AT46" t="s">
        <v>108</v>
      </c>
      <c r="AU46" s="6">
        <v>2022</v>
      </c>
      <c r="AV46">
        <v>127</v>
      </c>
      <c r="AW46" t="s">
        <v>85</v>
      </c>
      <c r="AX46" t="s">
        <v>85</v>
      </c>
      <c r="AY46" t="s">
        <v>85</v>
      </c>
      <c r="AZ46" t="s">
        <v>85</v>
      </c>
      <c r="BA46" t="s">
        <v>85</v>
      </c>
      <c r="BB46" t="s">
        <v>85</v>
      </c>
      <c r="BC46" t="s">
        <v>85</v>
      </c>
      <c r="BD46">
        <v>103737</v>
      </c>
      <c r="BE46" t="s">
        <v>1228</v>
      </c>
      <c r="BF46" t="str">
        <f>HYPERLINK("http://dx.doi.org/10.1016/j.cities.2022.103737","http://dx.doi.org/10.1016/j.cities.2022.103737")</f>
        <v>http://dx.doi.org/10.1016/j.cities.2022.103737</v>
      </c>
      <c r="BG46" t="s">
        <v>85</v>
      </c>
      <c r="BH46" t="s">
        <v>1184</v>
      </c>
      <c r="BI46">
        <v>12</v>
      </c>
      <c r="BJ46" s="6" t="s">
        <v>1209</v>
      </c>
      <c r="BK46" t="s">
        <v>146</v>
      </c>
      <c r="BL46" t="s">
        <v>1209</v>
      </c>
      <c r="BM46" t="s">
        <v>1229</v>
      </c>
      <c r="BN46" t="s">
        <v>85</v>
      </c>
      <c r="BO46" t="s">
        <v>85</v>
      </c>
      <c r="BP46" t="s">
        <v>85</v>
      </c>
      <c r="BQ46" t="s">
        <v>85</v>
      </c>
      <c r="BR46" t="s">
        <v>116</v>
      </c>
      <c r="BS46" t="s">
        <v>1230</v>
      </c>
      <c r="BT46" t="str">
        <f>HYPERLINK("https%3A%2F%2Fwww.webofscience.com%2Fwos%2Fwoscc%2Ffull-record%2FWOS:000811887300002","View Full Record in Web of Science")</f>
        <v>View Full Record in Web of Science</v>
      </c>
      <c r="BW46" s="11" t="s">
        <v>491</v>
      </c>
      <c r="BX46" s="7" t="s">
        <v>1231</v>
      </c>
      <c r="BY46" s="7" t="s">
        <v>1232</v>
      </c>
      <c r="BZ46" s="8" t="s">
        <v>1233</v>
      </c>
      <c r="CA46" s="7" t="s">
        <v>1123</v>
      </c>
      <c r="CB46" s="10" t="s">
        <v>122</v>
      </c>
      <c r="CC46" s="8" t="s">
        <v>123</v>
      </c>
      <c r="CD46" s="7" t="s">
        <v>694</v>
      </c>
      <c r="CE46" s="7" t="s">
        <v>1068</v>
      </c>
      <c r="CF46" s="8" t="s">
        <v>154</v>
      </c>
    </row>
    <row r="47" spans="1:84" ht="270">
      <c r="A47" t="s">
        <v>83</v>
      </c>
      <c r="B47" t="s">
        <v>1234</v>
      </c>
      <c r="C47" t="s">
        <v>85</v>
      </c>
      <c r="D47" t="s">
        <v>85</v>
      </c>
      <c r="E47" t="s">
        <v>85</v>
      </c>
      <c r="F47" t="s">
        <v>1235</v>
      </c>
      <c r="G47" t="s">
        <v>85</v>
      </c>
      <c r="H47" t="s">
        <v>85</v>
      </c>
      <c r="I47" s="5" t="s">
        <v>1236</v>
      </c>
      <c r="J47" t="s">
        <v>312</v>
      </c>
      <c r="K47" t="s">
        <v>85</v>
      </c>
      <c r="L47" t="s">
        <v>85</v>
      </c>
      <c r="M47" t="s">
        <v>89</v>
      </c>
      <c r="N47" t="s">
        <v>90</v>
      </c>
      <c r="O47" t="s">
        <v>85</v>
      </c>
      <c r="P47" t="s">
        <v>85</v>
      </c>
      <c r="Q47" t="s">
        <v>85</v>
      </c>
      <c r="R47" t="s">
        <v>85</v>
      </c>
      <c r="S47" t="s">
        <v>85</v>
      </c>
      <c r="T47" t="s">
        <v>1237</v>
      </c>
      <c r="U47" t="s">
        <v>1238</v>
      </c>
      <c r="V47" s="5" t="s">
        <v>1239</v>
      </c>
      <c r="W47" t="s">
        <v>1240</v>
      </c>
      <c r="X47" t="s">
        <v>1241</v>
      </c>
      <c r="Y47" t="s">
        <v>1242</v>
      </c>
      <c r="Z47" t="s">
        <v>1243</v>
      </c>
      <c r="AA47" t="s">
        <v>1244</v>
      </c>
      <c r="AB47" t="s">
        <v>1245</v>
      </c>
      <c r="AC47" t="s">
        <v>1246</v>
      </c>
      <c r="AD47" t="s">
        <v>1247</v>
      </c>
      <c r="AE47" t="s">
        <v>1248</v>
      </c>
      <c r="AF47" t="s">
        <v>85</v>
      </c>
      <c r="AG47">
        <v>90</v>
      </c>
      <c r="AH47">
        <v>8</v>
      </c>
      <c r="AI47">
        <v>8</v>
      </c>
      <c r="AJ47">
        <v>35</v>
      </c>
      <c r="AK47">
        <v>72</v>
      </c>
      <c r="AL47" t="s">
        <v>193</v>
      </c>
      <c r="AM47" t="s">
        <v>194</v>
      </c>
      <c r="AN47" t="s">
        <v>195</v>
      </c>
      <c r="AO47" t="s">
        <v>325</v>
      </c>
      <c r="AP47" t="s">
        <v>326</v>
      </c>
      <c r="AQ47" t="s">
        <v>85</v>
      </c>
      <c r="AR47" t="s">
        <v>327</v>
      </c>
      <c r="AS47" t="s">
        <v>328</v>
      </c>
      <c r="AT47" t="s">
        <v>200</v>
      </c>
      <c r="AU47" s="6">
        <v>2022</v>
      </c>
      <c r="AV47">
        <v>226</v>
      </c>
      <c r="AW47" t="s">
        <v>85</v>
      </c>
      <c r="AX47" t="s">
        <v>85</v>
      </c>
      <c r="AY47" t="s">
        <v>85</v>
      </c>
      <c r="AZ47" t="s">
        <v>85</v>
      </c>
      <c r="BA47" t="s">
        <v>85</v>
      </c>
      <c r="BB47" t="s">
        <v>85</v>
      </c>
      <c r="BC47" t="s">
        <v>85</v>
      </c>
      <c r="BD47">
        <v>104494</v>
      </c>
      <c r="BE47" t="s">
        <v>1249</v>
      </c>
      <c r="BF47" t="str">
        <f>HYPERLINK("http://dx.doi.org/10.1016/j.landurbplan.2022.104494","http://dx.doi.org/10.1016/j.landurbplan.2022.104494")</f>
        <v>http://dx.doi.org/10.1016/j.landurbplan.2022.104494</v>
      </c>
      <c r="BG47" t="s">
        <v>85</v>
      </c>
      <c r="BH47" t="s">
        <v>1184</v>
      </c>
      <c r="BI47">
        <v>11</v>
      </c>
      <c r="BJ47" s="6" t="s">
        <v>331</v>
      </c>
      <c r="BK47" t="s">
        <v>171</v>
      </c>
      <c r="BL47" t="s">
        <v>332</v>
      </c>
      <c r="BM47" t="s">
        <v>1250</v>
      </c>
      <c r="BN47" t="s">
        <v>85</v>
      </c>
      <c r="BO47" t="s">
        <v>85</v>
      </c>
      <c r="BP47" t="s">
        <v>85</v>
      </c>
      <c r="BQ47" t="s">
        <v>85</v>
      </c>
      <c r="BR47" t="s">
        <v>116</v>
      </c>
      <c r="BS47" t="s">
        <v>1251</v>
      </c>
      <c r="BT47" t="str">
        <f>HYPERLINK("https%3A%2F%2Fwww.webofscience.com%2Fwos%2Fwoscc%2Ffull-record%2FWOS:000850348000006","View Full Record in Web of Science")</f>
        <v>View Full Record in Web of Science</v>
      </c>
      <c r="BW47" s="11" t="s">
        <v>149</v>
      </c>
      <c r="BX47" s="7" t="s">
        <v>1252</v>
      </c>
      <c r="BY47" s="7" t="s">
        <v>1253</v>
      </c>
      <c r="CA47" s="7" t="s">
        <v>1254</v>
      </c>
      <c r="CB47" s="10" t="s">
        <v>122</v>
      </c>
      <c r="CC47" s="10" t="s">
        <v>123</v>
      </c>
      <c r="CD47" s="8" t="s">
        <v>1255</v>
      </c>
      <c r="CE47" s="7" t="s">
        <v>1068</v>
      </c>
      <c r="CF47" s="8" t="s">
        <v>154</v>
      </c>
    </row>
    <row r="48" spans="1:84" ht="409.5">
      <c r="A48" t="s">
        <v>83</v>
      </c>
      <c r="B48" t="s">
        <v>1256</v>
      </c>
      <c r="C48" t="s">
        <v>85</v>
      </c>
      <c r="D48" t="s">
        <v>85</v>
      </c>
      <c r="E48" t="s">
        <v>85</v>
      </c>
      <c r="F48" t="s">
        <v>1257</v>
      </c>
      <c r="G48" t="s">
        <v>85</v>
      </c>
      <c r="H48" t="s">
        <v>85</v>
      </c>
      <c r="I48" s="5" t="s">
        <v>1258</v>
      </c>
      <c r="J48" t="s">
        <v>1259</v>
      </c>
      <c r="K48" t="s">
        <v>85</v>
      </c>
      <c r="L48" t="s">
        <v>85</v>
      </c>
      <c r="M48" t="s">
        <v>89</v>
      </c>
      <c r="N48" t="s">
        <v>90</v>
      </c>
      <c r="O48" t="s">
        <v>85</v>
      </c>
      <c r="P48" t="s">
        <v>85</v>
      </c>
      <c r="Q48" t="s">
        <v>85</v>
      </c>
      <c r="R48" t="s">
        <v>85</v>
      </c>
      <c r="S48" t="s">
        <v>85</v>
      </c>
      <c r="T48" t="s">
        <v>85</v>
      </c>
      <c r="U48" t="s">
        <v>1260</v>
      </c>
      <c r="V48" s="5" t="s">
        <v>1261</v>
      </c>
      <c r="W48" t="s">
        <v>1262</v>
      </c>
      <c r="X48" t="s">
        <v>1263</v>
      </c>
      <c r="Y48" t="s">
        <v>1264</v>
      </c>
      <c r="Z48" t="s">
        <v>1265</v>
      </c>
      <c r="AA48" t="s">
        <v>1266</v>
      </c>
      <c r="AB48" t="s">
        <v>1267</v>
      </c>
      <c r="AC48" t="s">
        <v>1268</v>
      </c>
      <c r="AD48" t="s">
        <v>1269</v>
      </c>
      <c r="AE48" t="s">
        <v>1270</v>
      </c>
      <c r="AF48" t="s">
        <v>85</v>
      </c>
      <c r="AG48">
        <v>98</v>
      </c>
      <c r="AH48">
        <v>2</v>
      </c>
      <c r="AI48">
        <v>2</v>
      </c>
      <c r="AJ48">
        <v>5</v>
      </c>
      <c r="AK48">
        <v>11</v>
      </c>
      <c r="AL48" t="s">
        <v>1083</v>
      </c>
      <c r="AM48" t="s">
        <v>1084</v>
      </c>
      <c r="AN48" t="s">
        <v>1085</v>
      </c>
      <c r="AO48" t="s">
        <v>1271</v>
      </c>
      <c r="AP48" t="s">
        <v>1272</v>
      </c>
      <c r="AQ48" t="s">
        <v>85</v>
      </c>
      <c r="AR48" t="s">
        <v>1273</v>
      </c>
      <c r="AS48" t="s">
        <v>1274</v>
      </c>
      <c r="AT48" t="s">
        <v>252</v>
      </c>
      <c r="AU48" s="6">
        <v>2022</v>
      </c>
      <c r="AV48">
        <v>19</v>
      </c>
      <c r="AW48">
        <v>6</v>
      </c>
      <c r="AX48" t="s">
        <v>85</v>
      </c>
      <c r="AY48" t="s">
        <v>85</v>
      </c>
      <c r="AZ48" t="s">
        <v>85</v>
      </c>
      <c r="BA48" t="s">
        <v>85</v>
      </c>
      <c r="BB48" t="s">
        <v>85</v>
      </c>
      <c r="BC48" t="s">
        <v>85</v>
      </c>
      <c r="BD48" t="s">
        <v>1275</v>
      </c>
      <c r="BE48" t="s">
        <v>1276</v>
      </c>
      <c r="BF48" t="str">
        <f>HYPERLINK("http://dx.doi.org/10.1371/journal.pmed.1004043","http://dx.doi.org/10.1371/journal.pmed.1004043")</f>
        <v>http://dx.doi.org/10.1371/journal.pmed.1004043</v>
      </c>
      <c r="BG48" t="s">
        <v>85</v>
      </c>
      <c r="BH48" t="s">
        <v>85</v>
      </c>
      <c r="BI48">
        <v>27</v>
      </c>
      <c r="BJ48" s="6" t="s">
        <v>1277</v>
      </c>
      <c r="BK48" t="s">
        <v>112</v>
      </c>
      <c r="BL48" t="s">
        <v>1278</v>
      </c>
      <c r="BM48" t="s">
        <v>1279</v>
      </c>
      <c r="BN48">
        <v>35771888</v>
      </c>
      <c r="BO48" t="s">
        <v>1280</v>
      </c>
      <c r="BP48" t="s">
        <v>85</v>
      </c>
      <c r="BQ48" t="s">
        <v>85</v>
      </c>
      <c r="BR48" t="s">
        <v>116</v>
      </c>
      <c r="BS48" t="s">
        <v>1281</v>
      </c>
      <c r="BT48" t="str">
        <f>HYPERLINK("https%3A%2F%2Fwww.webofscience.com%2Fwos%2Fwoscc%2Ffull-record%2FWOS:000892011400001","View Full Record in Web of Science")</f>
        <v>View Full Record in Web of Science</v>
      </c>
      <c r="BW48" s="11" t="s">
        <v>491</v>
      </c>
      <c r="BX48" s="7" t="s">
        <v>1282</v>
      </c>
      <c r="BY48" s="7" t="s">
        <v>1283</v>
      </c>
      <c r="CA48" s="7" t="s">
        <v>1284</v>
      </c>
      <c r="CB48" s="10" t="s">
        <v>122</v>
      </c>
      <c r="CC48" s="8" t="s">
        <v>123</v>
      </c>
      <c r="CD48" s="8" t="s">
        <v>1285</v>
      </c>
      <c r="CE48" s="7" t="s">
        <v>1068</v>
      </c>
      <c r="CF48" s="8" t="s">
        <v>1286</v>
      </c>
    </row>
    <row r="49" spans="1:84" ht="150">
      <c r="A49" t="s">
        <v>83</v>
      </c>
      <c r="B49" t="s">
        <v>1287</v>
      </c>
      <c r="C49" t="s">
        <v>85</v>
      </c>
      <c r="D49" t="s">
        <v>85</v>
      </c>
      <c r="E49" t="s">
        <v>85</v>
      </c>
      <c r="F49" t="s">
        <v>1288</v>
      </c>
      <c r="G49" t="s">
        <v>85</v>
      </c>
      <c r="H49" t="s">
        <v>85</v>
      </c>
      <c r="I49" s="5" t="s">
        <v>1289</v>
      </c>
      <c r="J49" t="s">
        <v>1290</v>
      </c>
      <c r="K49" t="s">
        <v>85</v>
      </c>
      <c r="L49" t="s">
        <v>85</v>
      </c>
      <c r="M49" t="s">
        <v>89</v>
      </c>
      <c r="N49" t="s">
        <v>90</v>
      </c>
      <c r="O49" t="s">
        <v>85</v>
      </c>
      <c r="P49" t="s">
        <v>85</v>
      </c>
      <c r="Q49" t="s">
        <v>85</v>
      </c>
      <c r="R49" t="s">
        <v>85</v>
      </c>
      <c r="S49" t="s">
        <v>85</v>
      </c>
      <c r="T49" t="s">
        <v>1291</v>
      </c>
      <c r="U49" t="s">
        <v>1292</v>
      </c>
      <c r="V49" s="5" t="s">
        <v>1293</v>
      </c>
      <c r="W49" t="s">
        <v>1294</v>
      </c>
      <c r="X49" t="s">
        <v>1295</v>
      </c>
      <c r="Y49" t="s">
        <v>1296</v>
      </c>
      <c r="Z49" t="s">
        <v>1297</v>
      </c>
      <c r="AA49" t="s">
        <v>85</v>
      </c>
      <c r="AB49" t="s">
        <v>1298</v>
      </c>
      <c r="AC49" t="s">
        <v>1299</v>
      </c>
      <c r="AD49" t="s">
        <v>1300</v>
      </c>
      <c r="AE49" t="s">
        <v>1301</v>
      </c>
      <c r="AF49" t="s">
        <v>85</v>
      </c>
      <c r="AG49">
        <v>49</v>
      </c>
      <c r="AH49">
        <v>4</v>
      </c>
      <c r="AI49">
        <v>4</v>
      </c>
      <c r="AJ49">
        <v>6</v>
      </c>
      <c r="AK49">
        <v>16</v>
      </c>
      <c r="AL49" t="s">
        <v>1302</v>
      </c>
      <c r="AM49" t="s">
        <v>1303</v>
      </c>
      <c r="AN49" t="s">
        <v>1304</v>
      </c>
      <c r="AO49" t="s">
        <v>1305</v>
      </c>
      <c r="AP49" t="s">
        <v>1306</v>
      </c>
      <c r="AQ49" t="s">
        <v>85</v>
      </c>
      <c r="AR49" t="s">
        <v>1290</v>
      </c>
      <c r="AS49" t="s">
        <v>1307</v>
      </c>
      <c r="AT49" t="s">
        <v>252</v>
      </c>
      <c r="AU49" s="6">
        <v>2022</v>
      </c>
      <c r="AV49">
        <v>57</v>
      </c>
      <c r="AW49">
        <v>6</v>
      </c>
      <c r="AX49" t="s">
        <v>85</v>
      </c>
      <c r="AY49" t="s">
        <v>85</v>
      </c>
      <c r="AZ49" t="s">
        <v>85</v>
      </c>
      <c r="BA49" t="s">
        <v>85</v>
      </c>
      <c r="BB49">
        <v>708</v>
      </c>
      <c r="BC49">
        <v>714</v>
      </c>
      <c r="BD49" t="s">
        <v>85</v>
      </c>
      <c r="BE49" t="s">
        <v>1308</v>
      </c>
      <c r="BF49" t="str">
        <f>HYPERLINK("http://dx.doi.org/10.21273/HORTSCI16542-22","http://dx.doi.org/10.21273/HORTSCI16542-22")</f>
        <v>http://dx.doi.org/10.21273/HORTSCI16542-22</v>
      </c>
      <c r="BG49" t="s">
        <v>85</v>
      </c>
      <c r="BH49" t="s">
        <v>85</v>
      </c>
      <c r="BI49">
        <v>7</v>
      </c>
      <c r="BJ49" s="6" t="s">
        <v>1309</v>
      </c>
      <c r="BK49" t="s">
        <v>112</v>
      </c>
      <c r="BL49" t="s">
        <v>1310</v>
      </c>
      <c r="BM49" t="s">
        <v>1311</v>
      </c>
      <c r="BN49" t="s">
        <v>85</v>
      </c>
      <c r="BO49" t="s">
        <v>115</v>
      </c>
      <c r="BP49" t="s">
        <v>85</v>
      </c>
      <c r="BQ49" t="s">
        <v>85</v>
      </c>
      <c r="BR49" t="s">
        <v>116</v>
      </c>
      <c r="BS49" t="s">
        <v>1312</v>
      </c>
      <c r="BT49" t="str">
        <f>HYPERLINK("https%3A%2F%2Fwww.webofscience.com%2Fwos%2Fwoscc%2Ffull-record%2FWOS:000806325100003","View Full Record in Web of Science")</f>
        <v>View Full Record in Web of Science</v>
      </c>
      <c r="BW49" s="11" t="s">
        <v>149</v>
      </c>
      <c r="BX49" s="7" t="s">
        <v>1313</v>
      </c>
      <c r="BY49" s="7" t="s">
        <v>289</v>
      </c>
      <c r="CA49" s="7" t="s">
        <v>1314</v>
      </c>
      <c r="CB49" s="10" t="s">
        <v>122</v>
      </c>
      <c r="CC49" s="8" t="s">
        <v>123</v>
      </c>
      <c r="CD49" s="7" t="s">
        <v>124</v>
      </c>
      <c r="CE49" s="7" t="s">
        <v>1068</v>
      </c>
      <c r="CF49" s="8" t="s">
        <v>1315</v>
      </c>
    </row>
    <row r="50" spans="1:84" ht="165">
      <c r="A50" t="s">
        <v>83</v>
      </c>
      <c r="B50" t="s">
        <v>1316</v>
      </c>
      <c r="C50" t="s">
        <v>85</v>
      </c>
      <c r="D50" t="s">
        <v>85</v>
      </c>
      <c r="E50" t="s">
        <v>85</v>
      </c>
      <c r="F50" t="s">
        <v>1317</v>
      </c>
      <c r="G50" t="s">
        <v>85</v>
      </c>
      <c r="H50" t="s">
        <v>85</v>
      </c>
      <c r="I50" s="5" t="s">
        <v>1318</v>
      </c>
      <c r="J50" t="s">
        <v>1319</v>
      </c>
      <c r="K50" t="s">
        <v>85</v>
      </c>
      <c r="L50" t="s">
        <v>85</v>
      </c>
      <c r="M50" t="s">
        <v>89</v>
      </c>
      <c r="N50" t="s">
        <v>90</v>
      </c>
      <c r="O50" t="s">
        <v>85</v>
      </c>
      <c r="P50" t="s">
        <v>85</v>
      </c>
      <c r="Q50" t="s">
        <v>85</v>
      </c>
      <c r="R50" t="s">
        <v>85</v>
      </c>
      <c r="S50" t="s">
        <v>85</v>
      </c>
      <c r="T50" t="s">
        <v>1320</v>
      </c>
      <c r="U50" t="s">
        <v>1321</v>
      </c>
      <c r="V50" s="5" t="s">
        <v>1322</v>
      </c>
      <c r="W50" t="s">
        <v>1323</v>
      </c>
      <c r="X50" t="s">
        <v>1324</v>
      </c>
      <c r="Y50" t="s">
        <v>1325</v>
      </c>
      <c r="Z50" t="s">
        <v>1326</v>
      </c>
      <c r="AA50" t="s">
        <v>1327</v>
      </c>
      <c r="AB50" t="s">
        <v>1328</v>
      </c>
      <c r="AC50" t="s">
        <v>1329</v>
      </c>
      <c r="AD50" t="s">
        <v>1330</v>
      </c>
      <c r="AE50" t="s">
        <v>1331</v>
      </c>
      <c r="AF50" t="s">
        <v>85</v>
      </c>
      <c r="AG50">
        <v>96</v>
      </c>
      <c r="AH50">
        <v>1</v>
      </c>
      <c r="AI50">
        <v>1</v>
      </c>
      <c r="AJ50">
        <v>6</v>
      </c>
      <c r="AK50">
        <v>19</v>
      </c>
      <c r="AL50" t="s">
        <v>680</v>
      </c>
      <c r="AM50" t="s">
        <v>102</v>
      </c>
      <c r="AN50" t="s">
        <v>681</v>
      </c>
      <c r="AO50" t="s">
        <v>1332</v>
      </c>
      <c r="AP50" t="s">
        <v>1333</v>
      </c>
      <c r="AQ50" t="s">
        <v>85</v>
      </c>
      <c r="AR50" t="s">
        <v>1334</v>
      </c>
      <c r="AS50" t="s">
        <v>1335</v>
      </c>
      <c r="AT50" t="s">
        <v>143</v>
      </c>
      <c r="AU50" s="6">
        <v>2022</v>
      </c>
      <c r="AV50">
        <v>144</v>
      </c>
      <c r="AW50" t="s">
        <v>85</v>
      </c>
      <c r="AX50" t="s">
        <v>85</v>
      </c>
      <c r="AY50" t="s">
        <v>85</v>
      </c>
      <c r="AZ50" t="s">
        <v>85</v>
      </c>
      <c r="BA50" t="s">
        <v>85</v>
      </c>
      <c r="BB50" t="s">
        <v>85</v>
      </c>
      <c r="BC50" t="s">
        <v>85</v>
      </c>
      <c r="BD50">
        <v>102716</v>
      </c>
      <c r="BE50" t="s">
        <v>1336</v>
      </c>
      <c r="BF50" t="str">
        <f>HYPERLINK("http://dx.doi.org/10.1016/j.apgeog.2022.102716","http://dx.doi.org/10.1016/j.apgeog.2022.102716")</f>
        <v>http://dx.doi.org/10.1016/j.apgeog.2022.102716</v>
      </c>
      <c r="BG50" t="s">
        <v>85</v>
      </c>
      <c r="BH50" t="s">
        <v>1337</v>
      </c>
      <c r="BI50">
        <v>11</v>
      </c>
      <c r="BJ50" s="6" t="s">
        <v>1338</v>
      </c>
      <c r="BK50" t="s">
        <v>146</v>
      </c>
      <c r="BL50" t="s">
        <v>1338</v>
      </c>
      <c r="BM50" t="s">
        <v>1339</v>
      </c>
      <c r="BN50" t="s">
        <v>85</v>
      </c>
      <c r="BO50" t="s">
        <v>1340</v>
      </c>
      <c r="BP50" t="s">
        <v>85</v>
      </c>
      <c r="BQ50" t="s">
        <v>85</v>
      </c>
      <c r="BR50" t="s">
        <v>116</v>
      </c>
      <c r="BS50" t="s">
        <v>1341</v>
      </c>
      <c r="BT50" t="str">
        <f>HYPERLINK("https%3A%2F%2Fwww.webofscience.com%2Fwos%2Fwoscc%2Ffull-record%2FWOS:000832995000001","View Full Record in Web of Science")</f>
        <v>View Full Record in Web of Science</v>
      </c>
      <c r="BW50" s="11" t="s">
        <v>149</v>
      </c>
      <c r="BX50" s="7" t="s">
        <v>1342</v>
      </c>
      <c r="BY50" s="7" t="s">
        <v>289</v>
      </c>
      <c r="CA50" s="7" t="s">
        <v>1343</v>
      </c>
      <c r="CB50" s="10" t="s">
        <v>122</v>
      </c>
      <c r="CC50" s="8" t="s">
        <v>123</v>
      </c>
      <c r="CD50" s="7" t="s">
        <v>1344</v>
      </c>
      <c r="CE50" s="7" t="s">
        <v>1068</v>
      </c>
      <c r="CF50" s="8" t="s">
        <v>1345</v>
      </c>
    </row>
    <row r="51" spans="1:84" ht="153">
      <c r="A51" t="s">
        <v>83</v>
      </c>
      <c r="B51" t="s">
        <v>1346</v>
      </c>
      <c r="C51" t="s">
        <v>85</v>
      </c>
      <c r="D51" t="s">
        <v>85</v>
      </c>
      <c r="E51" t="s">
        <v>85</v>
      </c>
      <c r="F51" t="s">
        <v>1347</v>
      </c>
      <c r="G51" t="s">
        <v>85</v>
      </c>
      <c r="H51" t="s">
        <v>85</v>
      </c>
      <c r="I51" s="5" t="s">
        <v>1348</v>
      </c>
      <c r="J51" t="s">
        <v>264</v>
      </c>
      <c r="K51" t="s">
        <v>85</v>
      </c>
      <c r="L51" t="s">
        <v>85</v>
      </c>
      <c r="M51" t="s">
        <v>89</v>
      </c>
      <c r="N51" t="s">
        <v>90</v>
      </c>
      <c r="O51" t="s">
        <v>85</v>
      </c>
      <c r="P51" t="s">
        <v>85</v>
      </c>
      <c r="Q51" t="s">
        <v>85</v>
      </c>
      <c r="R51" t="s">
        <v>85</v>
      </c>
      <c r="S51" t="s">
        <v>85</v>
      </c>
      <c r="T51" t="s">
        <v>1349</v>
      </c>
      <c r="U51" t="s">
        <v>1350</v>
      </c>
      <c r="V51" s="9" t="s">
        <v>1351</v>
      </c>
      <c r="W51" t="s">
        <v>1352</v>
      </c>
      <c r="X51" t="s">
        <v>1353</v>
      </c>
      <c r="Y51" t="s">
        <v>1354</v>
      </c>
      <c r="Z51" t="s">
        <v>1355</v>
      </c>
      <c r="AA51" t="s">
        <v>85</v>
      </c>
      <c r="AB51" t="s">
        <v>85</v>
      </c>
      <c r="AC51" t="s">
        <v>1356</v>
      </c>
      <c r="AD51" t="s">
        <v>1357</v>
      </c>
      <c r="AE51" t="s">
        <v>1358</v>
      </c>
      <c r="AF51" t="s">
        <v>85</v>
      </c>
      <c r="AG51">
        <v>65</v>
      </c>
      <c r="AH51">
        <v>5</v>
      </c>
      <c r="AI51">
        <v>5</v>
      </c>
      <c r="AJ51">
        <v>55</v>
      </c>
      <c r="AK51">
        <v>99</v>
      </c>
      <c r="AL51" t="s">
        <v>275</v>
      </c>
      <c r="AM51" t="s">
        <v>276</v>
      </c>
      <c r="AN51" t="s">
        <v>277</v>
      </c>
      <c r="AO51" t="s">
        <v>278</v>
      </c>
      <c r="AP51" t="s">
        <v>279</v>
      </c>
      <c r="AQ51" t="s">
        <v>85</v>
      </c>
      <c r="AR51" t="s">
        <v>280</v>
      </c>
      <c r="AS51" t="s">
        <v>281</v>
      </c>
      <c r="AT51" t="s">
        <v>143</v>
      </c>
      <c r="AU51" s="6">
        <v>2022</v>
      </c>
      <c r="AV51">
        <v>73</v>
      </c>
      <c r="AW51" t="s">
        <v>85</v>
      </c>
      <c r="AX51" t="s">
        <v>85</v>
      </c>
      <c r="AY51" t="s">
        <v>85</v>
      </c>
      <c r="AZ51" t="s">
        <v>85</v>
      </c>
      <c r="BA51" t="s">
        <v>85</v>
      </c>
      <c r="BB51" t="s">
        <v>85</v>
      </c>
      <c r="BC51" t="s">
        <v>85</v>
      </c>
      <c r="BD51">
        <v>127612</v>
      </c>
      <c r="BE51" t="s">
        <v>1359</v>
      </c>
      <c r="BF51" t="str">
        <f>HYPERLINK("http://dx.doi.org/10.1016/j.ufug.2022.127612","http://dx.doi.org/10.1016/j.ufug.2022.127612")</f>
        <v>http://dx.doi.org/10.1016/j.ufug.2022.127612</v>
      </c>
      <c r="BG51" t="s">
        <v>85</v>
      </c>
      <c r="BH51" t="s">
        <v>1337</v>
      </c>
      <c r="BI51">
        <v>7</v>
      </c>
      <c r="BJ51" s="6" t="s">
        <v>284</v>
      </c>
      <c r="BK51" t="s">
        <v>171</v>
      </c>
      <c r="BL51" t="s">
        <v>285</v>
      </c>
      <c r="BM51" t="s">
        <v>1360</v>
      </c>
      <c r="BN51" t="s">
        <v>85</v>
      </c>
      <c r="BO51" t="s">
        <v>85</v>
      </c>
      <c r="BP51" t="s">
        <v>85</v>
      </c>
      <c r="BQ51" t="s">
        <v>85</v>
      </c>
      <c r="BR51" t="s">
        <v>116</v>
      </c>
      <c r="BS51" t="s">
        <v>1361</v>
      </c>
      <c r="BT51" t="str">
        <f>HYPERLINK("https%3A%2F%2Fwww.webofscience.com%2Fwos%2Fwoscc%2Ffull-record%2FWOS:000866527200004","View Full Record in Web of Science")</f>
        <v>View Full Record in Web of Science</v>
      </c>
      <c r="BW51" s="11" t="s">
        <v>149</v>
      </c>
      <c r="BX51" s="7" t="s">
        <v>1362</v>
      </c>
      <c r="BY51" s="7" t="s">
        <v>151</v>
      </c>
      <c r="CA51" s="7" t="s">
        <v>1363</v>
      </c>
      <c r="CB51" s="10" t="s">
        <v>122</v>
      </c>
      <c r="CC51" s="8" t="s">
        <v>123</v>
      </c>
      <c r="CD51" s="7" t="s">
        <v>1364</v>
      </c>
      <c r="CE51" s="7" t="s">
        <v>1068</v>
      </c>
      <c r="CF51" s="8" t="s">
        <v>154</v>
      </c>
    </row>
    <row r="52" spans="1:84" ht="255">
      <c r="A52" t="s">
        <v>83</v>
      </c>
      <c r="B52" t="s">
        <v>1365</v>
      </c>
      <c r="C52" t="s">
        <v>85</v>
      </c>
      <c r="D52" t="s">
        <v>85</v>
      </c>
      <c r="E52" t="s">
        <v>85</v>
      </c>
      <c r="F52" t="s">
        <v>1366</v>
      </c>
      <c r="G52" t="s">
        <v>85</v>
      </c>
      <c r="H52" t="s">
        <v>85</v>
      </c>
      <c r="I52" s="5" t="s">
        <v>1367</v>
      </c>
      <c r="J52" t="s">
        <v>215</v>
      </c>
      <c r="K52" t="s">
        <v>85</v>
      </c>
      <c r="L52" t="s">
        <v>85</v>
      </c>
      <c r="M52" t="s">
        <v>89</v>
      </c>
      <c r="N52" t="s">
        <v>90</v>
      </c>
      <c r="O52" t="s">
        <v>85</v>
      </c>
      <c r="P52" t="s">
        <v>85</v>
      </c>
      <c r="Q52" t="s">
        <v>85</v>
      </c>
      <c r="R52" t="s">
        <v>85</v>
      </c>
      <c r="S52" t="s">
        <v>85</v>
      </c>
      <c r="T52" t="s">
        <v>1368</v>
      </c>
      <c r="U52" t="s">
        <v>1369</v>
      </c>
      <c r="V52" s="5" t="s">
        <v>1370</v>
      </c>
      <c r="W52" t="s">
        <v>1371</v>
      </c>
      <c r="X52" t="s">
        <v>1372</v>
      </c>
      <c r="Y52" t="s">
        <v>1373</v>
      </c>
      <c r="Z52" t="s">
        <v>1374</v>
      </c>
      <c r="AA52" t="s">
        <v>85</v>
      </c>
      <c r="AB52" t="s">
        <v>1375</v>
      </c>
      <c r="AC52" t="s">
        <v>1376</v>
      </c>
      <c r="AD52" t="s">
        <v>1376</v>
      </c>
      <c r="AE52" t="s">
        <v>1377</v>
      </c>
      <c r="AF52" t="s">
        <v>85</v>
      </c>
      <c r="AG52">
        <v>78</v>
      </c>
      <c r="AH52">
        <v>3</v>
      </c>
      <c r="AI52">
        <v>3</v>
      </c>
      <c r="AJ52">
        <v>9</v>
      </c>
      <c r="AK52">
        <v>16</v>
      </c>
      <c r="AL52" t="s">
        <v>225</v>
      </c>
      <c r="AM52" t="s">
        <v>226</v>
      </c>
      <c r="AN52" t="s">
        <v>227</v>
      </c>
      <c r="AO52" t="s">
        <v>228</v>
      </c>
      <c r="AP52" t="s">
        <v>85</v>
      </c>
      <c r="AQ52" t="s">
        <v>85</v>
      </c>
      <c r="AR52" t="s">
        <v>229</v>
      </c>
      <c r="AS52" t="s">
        <v>230</v>
      </c>
      <c r="AT52" t="s">
        <v>1378</v>
      </c>
      <c r="AU52" s="6">
        <v>2022</v>
      </c>
      <c r="AV52">
        <v>13</v>
      </c>
      <c r="AW52" t="s">
        <v>85</v>
      </c>
      <c r="AX52" t="s">
        <v>85</v>
      </c>
      <c r="AY52" t="s">
        <v>85</v>
      </c>
      <c r="AZ52" t="s">
        <v>85</v>
      </c>
      <c r="BA52" t="s">
        <v>85</v>
      </c>
      <c r="BB52" t="s">
        <v>85</v>
      </c>
      <c r="BC52" t="s">
        <v>85</v>
      </c>
      <c r="BD52">
        <v>861107</v>
      </c>
      <c r="BE52" t="s">
        <v>1379</v>
      </c>
      <c r="BF52" t="str">
        <f>HYPERLINK("http://dx.doi.org/10.3389/fpsyg.2022.861107","http://dx.doi.org/10.3389/fpsyg.2022.861107")</f>
        <v>http://dx.doi.org/10.3389/fpsyg.2022.861107</v>
      </c>
      <c r="BG52" t="s">
        <v>85</v>
      </c>
      <c r="BH52" t="s">
        <v>85</v>
      </c>
      <c r="BI52">
        <v>13</v>
      </c>
      <c r="BJ52" s="6" t="s">
        <v>233</v>
      </c>
      <c r="BK52" t="s">
        <v>146</v>
      </c>
      <c r="BL52" t="s">
        <v>234</v>
      </c>
      <c r="BM52" t="s">
        <v>1380</v>
      </c>
      <c r="BN52">
        <v>35651572</v>
      </c>
      <c r="BO52" t="s">
        <v>363</v>
      </c>
      <c r="BP52" t="s">
        <v>85</v>
      </c>
      <c r="BQ52" t="s">
        <v>85</v>
      </c>
      <c r="BR52" t="s">
        <v>116</v>
      </c>
      <c r="BS52" t="s">
        <v>1381</v>
      </c>
      <c r="BT52" t="str">
        <f>HYPERLINK("https%3A%2F%2Fwww.webofscience.com%2Fwos%2Fwoscc%2Ffull-record%2FWOS:000804689000001","View Full Record in Web of Science")</f>
        <v>View Full Record in Web of Science</v>
      </c>
      <c r="BW52" s="11" t="s">
        <v>149</v>
      </c>
      <c r="BX52" s="7" t="s">
        <v>1382</v>
      </c>
      <c r="BY52" s="7" t="s">
        <v>151</v>
      </c>
      <c r="CA52" s="7" t="s">
        <v>1383</v>
      </c>
      <c r="CB52" s="10" t="s">
        <v>122</v>
      </c>
      <c r="CC52" s="8" t="s">
        <v>123</v>
      </c>
      <c r="CD52" s="7" t="s">
        <v>622</v>
      </c>
      <c r="CE52" s="7" t="s">
        <v>408</v>
      </c>
      <c r="CF52" s="8" t="s">
        <v>1384</v>
      </c>
    </row>
    <row r="53" spans="1:84" ht="140.25">
      <c r="A53" t="s">
        <v>83</v>
      </c>
      <c r="B53" t="s">
        <v>1385</v>
      </c>
      <c r="C53" t="s">
        <v>85</v>
      </c>
      <c r="D53" t="s">
        <v>85</v>
      </c>
      <c r="E53" t="s">
        <v>85</v>
      </c>
      <c r="F53" t="s">
        <v>1386</v>
      </c>
      <c r="G53" t="s">
        <v>85</v>
      </c>
      <c r="H53" t="s">
        <v>85</v>
      </c>
      <c r="I53" s="5" t="s">
        <v>1387</v>
      </c>
      <c r="J53" t="s">
        <v>874</v>
      </c>
      <c r="K53" t="s">
        <v>85</v>
      </c>
      <c r="L53" t="s">
        <v>85</v>
      </c>
      <c r="M53" t="s">
        <v>89</v>
      </c>
      <c r="N53" t="s">
        <v>90</v>
      </c>
      <c r="O53" t="s">
        <v>85</v>
      </c>
      <c r="P53" t="s">
        <v>85</v>
      </c>
      <c r="Q53" t="s">
        <v>85</v>
      </c>
      <c r="R53" t="s">
        <v>85</v>
      </c>
      <c r="S53" t="s">
        <v>85</v>
      </c>
      <c r="T53" t="s">
        <v>1388</v>
      </c>
      <c r="U53" t="s">
        <v>1389</v>
      </c>
      <c r="V53" s="9" t="s">
        <v>1390</v>
      </c>
      <c r="W53" t="s">
        <v>1391</v>
      </c>
      <c r="X53" t="s">
        <v>1392</v>
      </c>
      <c r="Y53" t="s">
        <v>1393</v>
      </c>
      <c r="Z53" t="s">
        <v>1394</v>
      </c>
      <c r="AA53" t="s">
        <v>85</v>
      </c>
      <c r="AB53" t="s">
        <v>1395</v>
      </c>
      <c r="AC53" t="s">
        <v>1396</v>
      </c>
      <c r="AD53" t="s">
        <v>1397</v>
      </c>
      <c r="AE53" t="s">
        <v>1398</v>
      </c>
      <c r="AF53" t="s">
        <v>85</v>
      </c>
      <c r="AG53">
        <v>60</v>
      </c>
      <c r="AH53">
        <v>3</v>
      </c>
      <c r="AI53">
        <v>3</v>
      </c>
      <c r="AJ53">
        <v>7</v>
      </c>
      <c r="AK53">
        <v>22</v>
      </c>
      <c r="AL53" t="s">
        <v>137</v>
      </c>
      <c r="AM53" t="s">
        <v>138</v>
      </c>
      <c r="AN53" t="s">
        <v>139</v>
      </c>
      <c r="AO53" t="s">
        <v>85</v>
      </c>
      <c r="AP53" t="s">
        <v>884</v>
      </c>
      <c r="AQ53" t="s">
        <v>85</v>
      </c>
      <c r="AR53" t="s">
        <v>885</v>
      </c>
      <c r="AS53" t="s">
        <v>886</v>
      </c>
      <c r="AT53" t="s">
        <v>1399</v>
      </c>
      <c r="AU53" s="6">
        <v>2022</v>
      </c>
      <c r="AV53">
        <v>19</v>
      </c>
      <c r="AW53">
        <v>9</v>
      </c>
      <c r="AX53" t="s">
        <v>85</v>
      </c>
      <c r="AY53" t="s">
        <v>85</v>
      </c>
      <c r="AZ53" t="s">
        <v>85</v>
      </c>
      <c r="BA53" t="s">
        <v>85</v>
      </c>
      <c r="BB53" t="s">
        <v>85</v>
      </c>
      <c r="BC53" t="s">
        <v>85</v>
      </c>
      <c r="BD53">
        <v>5668</v>
      </c>
      <c r="BE53" t="s">
        <v>1400</v>
      </c>
      <c r="BF53" t="str">
        <f>HYPERLINK("http://dx.doi.org/10.3390/ijerph19095668","http://dx.doi.org/10.3390/ijerph19095668")</f>
        <v>http://dx.doi.org/10.3390/ijerph19095668</v>
      </c>
      <c r="BG53" t="s">
        <v>85</v>
      </c>
      <c r="BH53" t="s">
        <v>85</v>
      </c>
      <c r="BI53">
        <v>19</v>
      </c>
      <c r="BJ53" s="6" t="s">
        <v>889</v>
      </c>
      <c r="BK53" t="s">
        <v>171</v>
      </c>
      <c r="BL53" t="s">
        <v>890</v>
      </c>
      <c r="BM53" t="s">
        <v>1401</v>
      </c>
      <c r="BN53">
        <v>35565069</v>
      </c>
      <c r="BO53" t="s">
        <v>1402</v>
      </c>
      <c r="BP53" t="s">
        <v>85</v>
      </c>
      <c r="BQ53" t="s">
        <v>85</v>
      </c>
      <c r="BR53" t="s">
        <v>116</v>
      </c>
      <c r="BS53" t="s">
        <v>1403</v>
      </c>
      <c r="BT53" t="str">
        <f>HYPERLINK("https%3A%2F%2Fwww.webofscience.com%2Fwos%2Fwoscc%2Ffull-record%2FWOS:000794539100001","View Full Record in Web of Science")</f>
        <v>View Full Record in Web of Science</v>
      </c>
      <c r="BW53" s="11" t="s">
        <v>491</v>
      </c>
      <c r="BX53" s="7" t="s">
        <v>1404</v>
      </c>
      <c r="BY53" s="7" t="s">
        <v>289</v>
      </c>
      <c r="CA53" s="7" t="s">
        <v>1405</v>
      </c>
      <c r="CB53" s="10" t="s">
        <v>122</v>
      </c>
      <c r="CC53" s="8" t="s">
        <v>123</v>
      </c>
      <c r="CD53" s="7" t="s">
        <v>1144</v>
      </c>
      <c r="CE53" s="7" t="s">
        <v>211</v>
      </c>
      <c r="CF53" s="8" t="s">
        <v>1406</v>
      </c>
    </row>
    <row r="54" spans="1:84" ht="195">
      <c r="A54" t="s">
        <v>83</v>
      </c>
      <c r="B54" t="s">
        <v>1407</v>
      </c>
      <c r="C54" t="s">
        <v>85</v>
      </c>
      <c r="D54" t="s">
        <v>85</v>
      </c>
      <c r="E54" t="s">
        <v>85</v>
      </c>
      <c r="F54" t="s">
        <v>1408</v>
      </c>
      <c r="G54" t="s">
        <v>85</v>
      </c>
      <c r="H54" t="s">
        <v>85</v>
      </c>
      <c r="I54" s="5" t="s">
        <v>1409</v>
      </c>
      <c r="J54" t="s">
        <v>312</v>
      </c>
      <c r="K54" t="s">
        <v>85</v>
      </c>
      <c r="L54" t="s">
        <v>85</v>
      </c>
      <c r="M54" t="s">
        <v>89</v>
      </c>
      <c r="N54" t="s">
        <v>90</v>
      </c>
      <c r="O54" t="s">
        <v>85</v>
      </c>
      <c r="P54" t="s">
        <v>85</v>
      </c>
      <c r="Q54" t="s">
        <v>85</v>
      </c>
      <c r="R54" t="s">
        <v>85</v>
      </c>
      <c r="S54" t="s">
        <v>85</v>
      </c>
      <c r="T54" t="s">
        <v>1410</v>
      </c>
      <c r="U54" t="s">
        <v>1411</v>
      </c>
      <c r="V54" s="5" t="s">
        <v>1412</v>
      </c>
      <c r="W54" t="s">
        <v>1413</v>
      </c>
      <c r="X54" t="s">
        <v>1414</v>
      </c>
      <c r="Y54" t="s">
        <v>1415</v>
      </c>
      <c r="Z54" t="s">
        <v>1416</v>
      </c>
      <c r="AA54" t="s">
        <v>1417</v>
      </c>
      <c r="AB54" t="s">
        <v>1418</v>
      </c>
      <c r="AC54" t="s">
        <v>85</v>
      </c>
      <c r="AD54" t="s">
        <v>85</v>
      </c>
      <c r="AE54" t="s">
        <v>85</v>
      </c>
      <c r="AF54" t="s">
        <v>85</v>
      </c>
      <c r="AG54">
        <v>74</v>
      </c>
      <c r="AH54">
        <v>8</v>
      </c>
      <c r="AI54">
        <v>8</v>
      </c>
      <c r="AJ54">
        <v>26</v>
      </c>
      <c r="AK54">
        <v>38</v>
      </c>
      <c r="AL54" t="s">
        <v>193</v>
      </c>
      <c r="AM54" t="s">
        <v>194</v>
      </c>
      <c r="AN54" t="s">
        <v>195</v>
      </c>
      <c r="AO54" t="s">
        <v>325</v>
      </c>
      <c r="AP54" t="s">
        <v>326</v>
      </c>
      <c r="AQ54" t="s">
        <v>85</v>
      </c>
      <c r="AR54" t="s">
        <v>327</v>
      </c>
      <c r="AS54" t="s">
        <v>328</v>
      </c>
      <c r="AT54" t="s">
        <v>108</v>
      </c>
      <c r="AU54" s="6">
        <v>2022</v>
      </c>
      <c r="AV54">
        <v>224</v>
      </c>
      <c r="AW54" t="s">
        <v>85</v>
      </c>
      <c r="AX54" t="s">
        <v>85</v>
      </c>
      <c r="AY54" t="s">
        <v>85</v>
      </c>
      <c r="AZ54" t="s">
        <v>85</v>
      </c>
      <c r="BA54" t="s">
        <v>85</v>
      </c>
      <c r="BB54" t="s">
        <v>85</v>
      </c>
      <c r="BC54" t="s">
        <v>85</v>
      </c>
      <c r="BD54">
        <v>104446</v>
      </c>
      <c r="BE54" t="s">
        <v>1419</v>
      </c>
      <c r="BF54" t="str">
        <f>HYPERLINK("http://dx.doi.org/10.1016/j.landurbplan.2022.104446","http://dx.doi.org/10.1016/j.landurbplan.2022.104446")</f>
        <v>http://dx.doi.org/10.1016/j.landurbplan.2022.104446</v>
      </c>
      <c r="BG54" t="s">
        <v>85</v>
      </c>
      <c r="BH54" t="s">
        <v>1420</v>
      </c>
      <c r="BI54">
        <v>10</v>
      </c>
      <c r="BJ54" s="6" t="s">
        <v>331</v>
      </c>
      <c r="BK54" t="s">
        <v>171</v>
      </c>
      <c r="BL54" t="s">
        <v>332</v>
      </c>
      <c r="BM54" t="s">
        <v>1421</v>
      </c>
      <c r="BN54" t="s">
        <v>85</v>
      </c>
      <c r="BO54" t="s">
        <v>427</v>
      </c>
      <c r="BP54" t="s">
        <v>85</v>
      </c>
      <c r="BQ54" t="s">
        <v>85</v>
      </c>
      <c r="BR54" t="s">
        <v>116</v>
      </c>
      <c r="BS54" t="s">
        <v>1422</v>
      </c>
      <c r="BT54" t="str">
        <f>HYPERLINK("https%3A%2F%2Fwww.webofscience.com%2Fwos%2Fwoscc%2Ffull-record%2FWOS:000795006400002","View Full Record in Web of Science")</f>
        <v>View Full Record in Web of Science</v>
      </c>
      <c r="BW54" s="11" t="s">
        <v>149</v>
      </c>
      <c r="BX54" s="7" t="s">
        <v>1423</v>
      </c>
      <c r="BY54" s="7" t="s">
        <v>151</v>
      </c>
      <c r="CA54" s="7" t="s">
        <v>1424</v>
      </c>
      <c r="CB54" s="10" t="s">
        <v>122</v>
      </c>
      <c r="CC54" s="8" t="s">
        <v>123</v>
      </c>
      <c r="CD54" s="7" t="s">
        <v>622</v>
      </c>
      <c r="CE54" s="7" t="s">
        <v>211</v>
      </c>
      <c r="CF54" s="8" t="s">
        <v>1425</v>
      </c>
    </row>
    <row r="55" spans="1:84" ht="140.25">
      <c r="A55" t="s">
        <v>83</v>
      </c>
      <c r="B55" t="s">
        <v>1426</v>
      </c>
      <c r="C55" t="s">
        <v>85</v>
      </c>
      <c r="D55" t="s">
        <v>85</v>
      </c>
      <c r="E55" t="s">
        <v>85</v>
      </c>
      <c r="F55" t="s">
        <v>1427</v>
      </c>
      <c r="G55" t="s">
        <v>85</v>
      </c>
      <c r="H55" t="s">
        <v>85</v>
      </c>
      <c r="I55" s="5" t="s">
        <v>1428</v>
      </c>
      <c r="J55" t="s">
        <v>1429</v>
      </c>
      <c r="K55" t="s">
        <v>85</v>
      </c>
      <c r="L55" t="s">
        <v>85</v>
      </c>
      <c r="M55" t="s">
        <v>89</v>
      </c>
      <c r="N55" t="s">
        <v>90</v>
      </c>
      <c r="O55" t="s">
        <v>85</v>
      </c>
      <c r="P55" t="s">
        <v>85</v>
      </c>
      <c r="Q55" t="s">
        <v>85</v>
      </c>
      <c r="R55" t="s">
        <v>85</v>
      </c>
      <c r="S55" t="s">
        <v>85</v>
      </c>
      <c r="T55" t="s">
        <v>1430</v>
      </c>
      <c r="U55" t="s">
        <v>1431</v>
      </c>
      <c r="V55" s="9" t="s">
        <v>1432</v>
      </c>
      <c r="W55" t="s">
        <v>1433</v>
      </c>
      <c r="X55" t="s">
        <v>1434</v>
      </c>
      <c r="Y55" t="s">
        <v>1435</v>
      </c>
      <c r="Z55" t="s">
        <v>1436</v>
      </c>
      <c r="AA55" t="s">
        <v>85</v>
      </c>
      <c r="AB55" t="s">
        <v>908</v>
      </c>
      <c r="AC55" t="s">
        <v>1437</v>
      </c>
      <c r="AD55" t="s">
        <v>1438</v>
      </c>
      <c r="AE55" t="s">
        <v>1439</v>
      </c>
      <c r="AF55" t="s">
        <v>85</v>
      </c>
      <c r="AG55">
        <v>60</v>
      </c>
      <c r="AH55">
        <v>11</v>
      </c>
      <c r="AI55">
        <v>11</v>
      </c>
      <c r="AJ55">
        <v>41</v>
      </c>
      <c r="AK55">
        <v>43</v>
      </c>
      <c r="AL55" t="s">
        <v>225</v>
      </c>
      <c r="AM55" t="s">
        <v>226</v>
      </c>
      <c r="AN55" t="s">
        <v>227</v>
      </c>
      <c r="AO55" t="s">
        <v>85</v>
      </c>
      <c r="AP55" t="s">
        <v>1440</v>
      </c>
      <c r="AQ55" t="s">
        <v>85</v>
      </c>
      <c r="AR55" t="s">
        <v>1441</v>
      </c>
      <c r="AS55" t="s">
        <v>1442</v>
      </c>
      <c r="AT55" t="s">
        <v>1443</v>
      </c>
      <c r="AU55" s="6">
        <v>2022</v>
      </c>
      <c r="AV55">
        <v>10</v>
      </c>
      <c r="AW55" t="s">
        <v>85</v>
      </c>
      <c r="AX55" t="s">
        <v>85</v>
      </c>
      <c r="AY55" t="s">
        <v>85</v>
      </c>
      <c r="AZ55" t="s">
        <v>85</v>
      </c>
      <c r="BA55" t="s">
        <v>85</v>
      </c>
      <c r="BB55" t="s">
        <v>85</v>
      </c>
      <c r="BC55" t="s">
        <v>85</v>
      </c>
      <c r="BD55">
        <v>781204</v>
      </c>
      <c r="BE55" t="s">
        <v>1444</v>
      </c>
      <c r="BF55" t="str">
        <f>HYPERLINK("http://dx.doi.org/10.3389/feart.2022.781204","http://dx.doi.org/10.3389/feart.2022.781204")</f>
        <v>http://dx.doi.org/10.3389/feart.2022.781204</v>
      </c>
      <c r="BG55" t="s">
        <v>85</v>
      </c>
      <c r="BH55" t="s">
        <v>85</v>
      </c>
      <c r="BI55">
        <v>13</v>
      </c>
      <c r="BJ55" s="6" t="s">
        <v>1445</v>
      </c>
      <c r="BK55" t="s">
        <v>112</v>
      </c>
      <c r="BL55" t="s">
        <v>1446</v>
      </c>
      <c r="BM55" t="s">
        <v>1447</v>
      </c>
      <c r="BN55" t="s">
        <v>85</v>
      </c>
      <c r="BO55" t="s">
        <v>115</v>
      </c>
      <c r="BP55" t="s">
        <v>85</v>
      </c>
      <c r="BQ55" t="s">
        <v>85</v>
      </c>
      <c r="BR55" t="s">
        <v>116</v>
      </c>
      <c r="BS55" t="s">
        <v>1448</v>
      </c>
      <c r="BT55" t="str">
        <f>HYPERLINK("https%3A%2F%2Fwww.webofscience.com%2Fwos%2Fwoscc%2Ffull-record%2FWOS:000918052300001","View Full Record in Web of Science")</f>
        <v>View Full Record in Web of Science</v>
      </c>
      <c r="BW55" s="11" t="s">
        <v>149</v>
      </c>
      <c r="BX55" s="7" t="s">
        <v>1449</v>
      </c>
      <c r="BY55" s="7" t="s">
        <v>151</v>
      </c>
      <c r="CA55" s="7" t="s">
        <v>1450</v>
      </c>
      <c r="CB55" s="10" t="s">
        <v>122</v>
      </c>
      <c r="CC55" s="8" t="s">
        <v>123</v>
      </c>
      <c r="CD55" s="7" t="s">
        <v>622</v>
      </c>
      <c r="CE55" s="7" t="s">
        <v>211</v>
      </c>
      <c r="CF55" s="8" t="s">
        <v>154</v>
      </c>
    </row>
    <row r="56" spans="1:84" ht="240">
      <c r="A56" t="s">
        <v>83</v>
      </c>
      <c r="B56" t="s">
        <v>1451</v>
      </c>
      <c r="C56" t="s">
        <v>85</v>
      </c>
      <c r="D56" t="s">
        <v>85</v>
      </c>
      <c r="E56" t="s">
        <v>85</v>
      </c>
      <c r="F56" t="s">
        <v>1452</v>
      </c>
      <c r="G56" t="s">
        <v>85</v>
      </c>
      <c r="H56" t="s">
        <v>85</v>
      </c>
      <c r="I56" s="5" t="s">
        <v>1453</v>
      </c>
      <c r="J56" t="s">
        <v>1101</v>
      </c>
      <c r="K56" t="s">
        <v>85</v>
      </c>
      <c r="L56" t="s">
        <v>85</v>
      </c>
      <c r="M56" t="s">
        <v>89</v>
      </c>
      <c r="N56" t="s">
        <v>90</v>
      </c>
      <c r="O56" t="s">
        <v>85</v>
      </c>
      <c r="P56" t="s">
        <v>85</v>
      </c>
      <c r="Q56" t="s">
        <v>85</v>
      </c>
      <c r="R56" t="s">
        <v>85</v>
      </c>
      <c r="S56" t="s">
        <v>85</v>
      </c>
      <c r="T56" t="s">
        <v>1454</v>
      </c>
      <c r="U56" t="s">
        <v>1455</v>
      </c>
      <c r="V56" s="5" t="s">
        <v>1456</v>
      </c>
      <c r="W56" t="s">
        <v>1457</v>
      </c>
      <c r="X56" t="s">
        <v>1458</v>
      </c>
      <c r="Y56" t="s">
        <v>1459</v>
      </c>
      <c r="Z56" t="s">
        <v>1460</v>
      </c>
      <c r="AA56" t="s">
        <v>1461</v>
      </c>
      <c r="AB56" t="s">
        <v>1462</v>
      </c>
      <c r="AC56" t="s">
        <v>85</v>
      </c>
      <c r="AD56" t="s">
        <v>85</v>
      </c>
      <c r="AE56" t="s">
        <v>85</v>
      </c>
      <c r="AF56" t="s">
        <v>85</v>
      </c>
      <c r="AG56">
        <v>76</v>
      </c>
      <c r="AH56">
        <v>5</v>
      </c>
      <c r="AI56">
        <v>5</v>
      </c>
      <c r="AJ56">
        <v>10</v>
      </c>
      <c r="AK56">
        <v>25</v>
      </c>
      <c r="AL56" t="s">
        <v>225</v>
      </c>
      <c r="AM56" t="s">
        <v>226</v>
      </c>
      <c r="AN56" t="s">
        <v>227</v>
      </c>
      <c r="AO56" t="s">
        <v>85</v>
      </c>
      <c r="AP56" t="s">
        <v>1114</v>
      </c>
      <c r="AQ56" t="s">
        <v>85</v>
      </c>
      <c r="AR56" t="s">
        <v>1115</v>
      </c>
      <c r="AS56" t="s">
        <v>1116</v>
      </c>
      <c r="AT56" t="s">
        <v>1463</v>
      </c>
      <c r="AU56" s="6">
        <v>2022</v>
      </c>
      <c r="AV56">
        <v>10</v>
      </c>
      <c r="AW56" t="s">
        <v>85</v>
      </c>
      <c r="AX56" t="s">
        <v>85</v>
      </c>
      <c r="AY56" t="s">
        <v>85</v>
      </c>
      <c r="AZ56" t="s">
        <v>85</v>
      </c>
      <c r="BA56" t="s">
        <v>85</v>
      </c>
      <c r="BB56" t="s">
        <v>85</v>
      </c>
      <c r="BC56" t="s">
        <v>85</v>
      </c>
      <c r="BD56">
        <v>844541</v>
      </c>
      <c r="BE56" t="s">
        <v>1464</v>
      </c>
      <c r="BF56" t="str">
        <f>HYPERLINK("http://dx.doi.org/10.3389/fpubh.2022.844541","http://dx.doi.org/10.3389/fpubh.2022.844541")</f>
        <v>http://dx.doi.org/10.3389/fpubh.2022.844541</v>
      </c>
      <c r="BG56" t="s">
        <v>85</v>
      </c>
      <c r="BH56" t="s">
        <v>85</v>
      </c>
      <c r="BI56">
        <v>13</v>
      </c>
      <c r="BJ56" s="6" t="s">
        <v>616</v>
      </c>
      <c r="BK56" t="s">
        <v>171</v>
      </c>
      <c r="BL56" t="s">
        <v>616</v>
      </c>
      <c r="BM56" t="s">
        <v>1465</v>
      </c>
      <c r="BN56">
        <v>35480591</v>
      </c>
      <c r="BO56" t="s">
        <v>1120</v>
      </c>
      <c r="BP56" t="s">
        <v>85</v>
      </c>
      <c r="BQ56" t="s">
        <v>85</v>
      </c>
      <c r="BR56" t="s">
        <v>116</v>
      </c>
      <c r="BS56" t="s">
        <v>1466</v>
      </c>
      <c r="BT56" t="str">
        <f>HYPERLINK("https%3A%2F%2Fwww.webofscience.com%2Fwos%2Fwoscc%2Ffull-record%2FWOS:000791597000001","View Full Record in Web of Science")</f>
        <v>View Full Record in Web of Science</v>
      </c>
      <c r="BW56" s="11" t="s">
        <v>365</v>
      </c>
      <c r="BX56" s="7" t="s">
        <v>1467</v>
      </c>
      <c r="BY56" s="7" t="s">
        <v>289</v>
      </c>
      <c r="CA56" s="7" t="s">
        <v>1468</v>
      </c>
      <c r="CB56" s="10" t="s">
        <v>122</v>
      </c>
      <c r="CC56" s="8" t="s">
        <v>123</v>
      </c>
      <c r="CD56" s="7" t="s">
        <v>622</v>
      </c>
      <c r="CE56" s="7" t="s">
        <v>211</v>
      </c>
      <c r="CF56" s="8" t="s">
        <v>154</v>
      </c>
    </row>
    <row r="57" spans="1:84" ht="195">
      <c r="A57" t="s">
        <v>83</v>
      </c>
      <c r="B57" t="s">
        <v>1469</v>
      </c>
      <c r="C57" t="s">
        <v>85</v>
      </c>
      <c r="D57" t="s">
        <v>85</v>
      </c>
      <c r="E57" t="s">
        <v>85</v>
      </c>
      <c r="F57" t="s">
        <v>1470</v>
      </c>
      <c r="G57" t="s">
        <v>85</v>
      </c>
      <c r="H57" t="s">
        <v>85</v>
      </c>
      <c r="I57" s="5" t="s">
        <v>1471</v>
      </c>
      <c r="J57" t="s">
        <v>951</v>
      </c>
      <c r="K57" t="s">
        <v>85</v>
      </c>
      <c r="L57" t="s">
        <v>85</v>
      </c>
      <c r="M57" t="s">
        <v>89</v>
      </c>
      <c r="N57" t="s">
        <v>90</v>
      </c>
      <c r="O57" t="s">
        <v>85</v>
      </c>
      <c r="P57" t="s">
        <v>85</v>
      </c>
      <c r="Q57" t="s">
        <v>85</v>
      </c>
      <c r="R57" t="s">
        <v>85</v>
      </c>
      <c r="S57" t="s">
        <v>85</v>
      </c>
      <c r="T57" t="s">
        <v>1472</v>
      </c>
      <c r="U57" t="s">
        <v>1473</v>
      </c>
      <c r="V57" s="5" t="s">
        <v>1474</v>
      </c>
      <c r="W57" t="s">
        <v>1475</v>
      </c>
      <c r="X57" t="s">
        <v>1476</v>
      </c>
      <c r="Y57" t="s">
        <v>1477</v>
      </c>
      <c r="Z57" t="s">
        <v>1478</v>
      </c>
      <c r="AA57" t="s">
        <v>1479</v>
      </c>
      <c r="AB57" t="s">
        <v>1480</v>
      </c>
      <c r="AC57" t="s">
        <v>85</v>
      </c>
      <c r="AD57" t="s">
        <v>85</v>
      </c>
      <c r="AE57" t="s">
        <v>85</v>
      </c>
      <c r="AF57" t="s">
        <v>85</v>
      </c>
      <c r="AG57">
        <v>65</v>
      </c>
      <c r="AH57">
        <v>8</v>
      </c>
      <c r="AI57">
        <v>8</v>
      </c>
      <c r="AJ57">
        <v>11</v>
      </c>
      <c r="AK57">
        <v>46</v>
      </c>
      <c r="AL57" t="s">
        <v>225</v>
      </c>
      <c r="AM57" t="s">
        <v>226</v>
      </c>
      <c r="AN57" t="s">
        <v>227</v>
      </c>
      <c r="AO57" t="s">
        <v>960</v>
      </c>
      <c r="AP57" t="s">
        <v>85</v>
      </c>
      <c r="AQ57" t="s">
        <v>85</v>
      </c>
      <c r="AR57" t="s">
        <v>961</v>
      </c>
      <c r="AS57" t="s">
        <v>962</v>
      </c>
      <c r="AT57" t="s">
        <v>1481</v>
      </c>
      <c r="AU57" s="6">
        <v>2022</v>
      </c>
      <c r="AV57">
        <v>10</v>
      </c>
      <c r="AW57" t="s">
        <v>85</v>
      </c>
      <c r="AX57" t="s">
        <v>85</v>
      </c>
      <c r="AY57" t="s">
        <v>85</v>
      </c>
      <c r="AZ57" t="s">
        <v>85</v>
      </c>
      <c r="BA57" t="s">
        <v>85</v>
      </c>
      <c r="BB57" t="s">
        <v>85</v>
      </c>
      <c r="BC57" t="s">
        <v>85</v>
      </c>
      <c r="BD57">
        <v>804443</v>
      </c>
      <c r="BE57" t="s">
        <v>1482</v>
      </c>
      <c r="BF57" t="str">
        <f>HYPERLINK("http://dx.doi.org/10.3389/fevo.2022.804443","http://dx.doi.org/10.3389/fevo.2022.804443")</f>
        <v>http://dx.doi.org/10.3389/fevo.2022.804443</v>
      </c>
      <c r="BG57" t="s">
        <v>85</v>
      </c>
      <c r="BH57" t="s">
        <v>85</v>
      </c>
      <c r="BI57">
        <v>11</v>
      </c>
      <c r="BJ57" s="6" t="s">
        <v>965</v>
      </c>
      <c r="BK57" t="s">
        <v>171</v>
      </c>
      <c r="BL57" t="s">
        <v>113</v>
      </c>
      <c r="BM57" t="s">
        <v>1483</v>
      </c>
      <c r="BN57" t="s">
        <v>85</v>
      </c>
      <c r="BO57" t="s">
        <v>1120</v>
      </c>
      <c r="BP57" t="s">
        <v>85</v>
      </c>
      <c r="BQ57" t="s">
        <v>85</v>
      </c>
      <c r="BR57" t="s">
        <v>116</v>
      </c>
      <c r="BS57" t="s">
        <v>1484</v>
      </c>
      <c r="BT57" t="str">
        <f>HYPERLINK("https%3A%2F%2Fwww.webofscience.com%2Fwos%2Fwoscc%2Ffull-record%2FWOS:000778262800001","View Full Record in Web of Science")</f>
        <v>View Full Record in Web of Science</v>
      </c>
      <c r="BW57" s="11" t="s">
        <v>365</v>
      </c>
      <c r="BX57" s="7" t="s">
        <v>1485</v>
      </c>
      <c r="BY57" s="7" t="s">
        <v>289</v>
      </c>
      <c r="CA57" s="7" t="s">
        <v>1486</v>
      </c>
      <c r="CB57" s="10" t="s">
        <v>122</v>
      </c>
      <c r="CC57" s="8" t="s">
        <v>123</v>
      </c>
      <c r="CD57" s="7" t="s">
        <v>622</v>
      </c>
      <c r="CE57" s="7" t="s">
        <v>211</v>
      </c>
      <c r="CF57" s="8" t="s">
        <v>409</v>
      </c>
    </row>
    <row r="58" spans="1:84" ht="210">
      <c r="A58" t="s">
        <v>83</v>
      </c>
      <c r="B58" t="s">
        <v>1487</v>
      </c>
      <c r="C58" t="s">
        <v>85</v>
      </c>
      <c r="D58" t="s">
        <v>85</v>
      </c>
      <c r="E58" t="s">
        <v>85</v>
      </c>
      <c r="F58" t="s">
        <v>1488</v>
      </c>
      <c r="G58" t="s">
        <v>85</v>
      </c>
      <c r="H58" t="s">
        <v>85</v>
      </c>
      <c r="I58" s="5" t="s">
        <v>1489</v>
      </c>
      <c r="J58" t="s">
        <v>1490</v>
      </c>
      <c r="K58" t="s">
        <v>85</v>
      </c>
      <c r="L58" t="s">
        <v>85</v>
      </c>
      <c r="M58" t="s">
        <v>89</v>
      </c>
      <c r="N58" t="s">
        <v>90</v>
      </c>
      <c r="O58" t="s">
        <v>85</v>
      </c>
      <c r="P58" t="s">
        <v>85</v>
      </c>
      <c r="Q58" t="s">
        <v>85</v>
      </c>
      <c r="R58" t="s">
        <v>85</v>
      </c>
      <c r="S58" t="s">
        <v>85</v>
      </c>
      <c r="T58" t="s">
        <v>1491</v>
      </c>
      <c r="U58" t="s">
        <v>1492</v>
      </c>
      <c r="V58" s="5" t="s">
        <v>1493</v>
      </c>
      <c r="W58" t="s">
        <v>1494</v>
      </c>
      <c r="X58" t="s">
        <v>1495</v>
      </c>
      <c r="Y58" t="s">
        <v>1496</v>
      </c>
      <c r="Z58" t="s">
        <v>1497</v>
      </c>
      <c r="AA58" t="s">
        <v>1498</v>
      </c>
      <c r="AB58" t="s">
        <v>1499</v>
      </c>
      <c r="AC58" t="s">
        <v>1500</v>
      </c>
      <c r="AD58" t="s">
        <v>1501</v>
      </c>
      <c r="AE58" t="s">
        <v>1502</v>
      </c>
      <c r="AF58" t="s">
        <v>85</v>
      </c>
      <c r="AG58">
        <v>62</v>
      </c>
      <c r="AH58">
        <v>5</v>
      </c>
      <c r="AI58">
        <v>5</v>
      </c>
      <c r="AJ58">
        <v>3</v>
      </c>
      <c r="AK58">
        <v>25</v>
      </c>
      <c r="AL58" t="s">
        <v>1503</v>
      </c>
      <c r="AM58" t="s">
        <v>1504</v>
      </c>
      <c r="AN58" t="s">
        <v>1505</v>
      </c>
      <c r="AO58" t="s">
        <v>1506</v>
      </c>
      <c r="AP58" t="s">
        <v>1507</v>
      </c>
      <c r="AQ58" t="s">
        <v>85</v>
      </c>
      <c r="AR58" t="s">
        <v>1508</v>
      </c>
      <c r="AS58" t="s">
        <v>1509</v>
      </c>
      <c r="AT58" t="s">
        <v>108</v>
      </c>
      <c r="AU58" s="6">
        <v>2022</v>
      </c>
      <c r="AV58">
        <v>211</v>
      </c>
      <c r="AW58" t="s">
        <v>85</v>
      </c>
      <c r="AX58" t="s">
        <v>85</v>
      </c>
      <c r="AY58" t="s">
        <v>85</v>
      </c>
      <c r="AZ58" t="s">
        <v>85</v>
      </c>
      <c r="BA58" t="s">
        <v>85</v>
      </c>
      <c r="BB58" t="s">
        <v>85</v>
      </c>
      <c r="BC58" t="s">
        <v>85</v>
      </c>
      <c r="BD58">
        <v>113056</v>
      </c>
      <c r="BE58" t="s">
        <v>1510</v>
      </c>
      <c r="BF58" t="str">
        <f>HYPERLINK("http://dx.doi.org/10.1016/j.envres.2022.113056","http://dx.doi.org/10.1016/j.envres.2022.113056")</f>
        <v>http://dx.doi.org/10.1016/j.envres.2022.113056</v>
      </c>
      <c r="BG58" t="s">
        <v>85</v>
      </c>
      <c r="BH58" t="s">
        <v>1511</v>
      </c>
      <c r="BI58">
        <v>8</v>
      </c>
      <c r="BJ58" s="6" t="s">
        <v>889</v>
      </c>
      <c r="BK58" t="s">
        <v>171</v>
      </c>
      <c r="BL58" t="s">
        <v>890</v>
      </c>
      <c r="BM58" t="s">
        <v>1512</v>
      </c>
      <c r="BN58">
        <v>35248565</v>
      </c>
      <c r="BO58" t="s">
        <v>1513</v>
      </c>
      <c r="BP58" t="s">
        <v>85</v>
      </c>
      <c r="BQ58" t="s">
        <v>85</v>
      </c>
      <c r="BR58" t="s">
        <v>116</v>
      </c>
      <c r="BS58" t="s">
        <v>1514</v>
      </c>
      <c r="BT58" t="str">
        <f>HYPERLINK("https%3A%2F%2Fwww.webofscience.com%2Fwos%2Fwoscc%2Ffull-record%2FWOS:000784336200002","View Full Record in Web of Science")</f>
        <v>View Full Record in Web of Science</v>
      </c>
      <c r="BW58" s="11" t="s">
        <v>365</v>
      </c>
      <c r="BX58" s="7" t="s">
        <v>1515</v>
      </c>
      <c r="BY58" s="7" t="s">
        <v>289</v>
      </c>
      <c r="CA58" s="7" t="s">
        <v>1516</v>
      </c>
      <c r="CB58" s="10" t="s">
        <v>122</v>
      </c>
      <c r="CC58" s="8" t="s">
        <v>123</v>
      </c>
      <c r="CD58" s="7" t="s">
        <v>1144</v>
      </c>
      <c r="CE58" s="7" t="s">
        <v>211</v>
      </c>
      <c r="CF58" s="8" t="s">
        <v>1517</v>
      </c>
    </row>
    <row r="59" spans="1:84" ht="195">
      <c r="A59" t="s">
        <v>83</v>
      </c>
      <c r="B59" t="s">
        <v>1518</v>
      </c>
      <c r="C59" t="s">
        <v>85</v>
      </c>
      <c r="D59" t="s">
        <v>85</v>
      </c>
      <c r="E59" t="s">
        <v>85</v>
      </c>
      <c r="F59" t="s">
        <v>1519</v>
      </c>
      <c r="G59" t="s">
        <v>85</v>
      </c>
      <c r="H59" t="s">
        <v>85</v>
      </c>
      <c r="I59" s="5" t="s">
        <v>1520</v>
      </c>
      <c r="J59" t="s">
        <v>312</v>
      </c>
      <c r="K59" t="s">
        <v>85</v>
      </c>
      <c r="L59" t="s">
        <v>85</v>
      </c>
      <c r="M59" t="s">
        <v>89</v>
      </c>
      <c r="N59" t="s">
        <v>90</v>
      </c>
      <c r="O59" t="s">
        <v>85</v>
      </c>
      <c r="P59" t="s">
        <v>85</v>
      </c>
      <c r="Q59" t="s">
        <v>85</v>
      </c>
      <c r="R59" t="s">
        <v>85</v>
      </c>
      <c r="S59" t="s">
        <v>85</v>
      </c>
      <c r="T59" t="s">
        <v>1521</v>
      </c>
      <c r="U59" t="s">
        <v>1522</v>
      </c>
      <c r="V59" s="5" t="s">
        <v>1523</v>
      </c>
      <c r="W59" t="s">
        <v>1524</v>
      </c>
      <c r="X59" t="s">
        <v>1525</v>
      </c>
      <c r="Y59" t="s">
        <v>1526</v>
      </c>
      <c r="Z59" t="s">
        <v>1527</v>
      </c>
      <c r="AA59" t="s">
        <v>85</v>
      </c>
      <c r="AB59" t="s">
        <v>1528</v>
      </c>
      <c r="AC59" t="s">
        <v>1529</v>
      </c>
      <c r="AD59" t="s">
        <v>1530</v>
      </c>
      <c r="AE59" t="s">
        <v>1531</v>
      </c>
      <c r="AF59" t="s">
        <v>85</v>
      </c>
      <c r="AG59">
        <v>67</v>
      </c>
      <c r="AH59">
        <v>5</v>
      </c>
      <c r="AI59">
        <v>5</v>
      </c>
      <c r="AJ59">
        <v>17</v>
      </c>
      <c r="AK59">
        <v>23</v>
      </c>
      <c r="AL59" t="s">
        <v>193</v>
      </c>
      <c r="AM59" t="s">
        <v>194</v>
      </c>
      <c r="AN59" t="s">
        <v>195</v>
      </c>
      <c r="AO59" t="s">
        <v>325</v>
      </c>
      <c r="AP59" t="s">
        <v>326</v>
      </c>
      <c r="AQ59" t="s">
        <v>85</v>
      </c>
      <c r="AR59" t="s">
        <v>327</v>
      </c>
      <c r="AS59" t="s">
        <v>328</v>
      </c>
      <c r="AT59" t="s">
        <v>252</v>
      </c>
      <c r="AU59" s="6">
        <v>2022</v>
      </c>
      <c r="AV59">
        <v>222</v>
      </c>
      <c r="AW59" t="s">
        <v>85</v>
      </c>
      <c r="AX59" t="s">
        <v>85</v>
      </c>
      <c r="AY59" t="s">
        <v>85</v>
      </c>
      <c r="AZ59" t="s">
        <v>85</v>
      </c>
      <c r="BA59" t="s">
        <v>85</v>
      </c>
      <c r="BB59" t="s">
        <v>85</v>
      </c>
      <c r="BC59" t="s">
        <v>85</v>
      </c>
      <c r="BD59">
        <v>104395</v>
      </c>
      <c r="BE59" t="s">
        <v>1532</v>
      </c>
      <c r="BF59" t="str">
        <f>HYPERLINK("http://dx.doi.org/10.1016/j.landurbplan.2022.104395","http://dx.doi.org/10.1016/j.landurbplan.2022.104395")</f>
        <v>http://dx.doi.org/10.1016/j.landurbplan.2022.104395</v>
      </c>
      <c r="BG59" t="s">
        <v>85</v>
      </c>
      <c r="BH59" t="s">
        <v>1511</v>
      </c>
      <c r="BI59">
        <v>11</v>
      </c>
      <c r="BJ59" s="6" t="s">
        <v>331</v>
      </c>
      <c r="BK59" t="s">
        <v>171</v>
      </c>
      <c r="BL59" t="s">
        <v>332</v>
      </c>
      <c r="BM59" t="s">
        <v>1533</v>
      </c>
      <c r="BN59" t="s">
        <v>85</v>
      </c>
      <c r="BO59" t="s">
        <v>206</v>
      </c>
      <c r="BP59" t="s">
        <v>85</v>
      </c>
      <c r="BQ59" t="s">
        <v>85</v>
      </c>
      <c r="BR59" t="s">
        <v>116</v>
      </c>
      <c r="BS59" t="s">
        <v>1534</v>
      </c>
      <c r="BT59" t="str">
        <f>HYPERLINK("https%3A%2F%2Fwww.webofscience.com%2Fwos%2Fwoscc%2Ffull-record%2FWOS:000795147600002","View Full Record in Web of Science")</f>
        <v>View Full Record in Web of Science</v>
      </c>
      <c r="BW59" s="11" t="s">
        <v>365</v>
      </c>
      <c r="BX59" s="10" t="s">
        <v>1535</v>
      </c>
      <c r="BY59" s="7" t="s">
        <v>289</v>
      </c>
      <c r="CA59" s="7" t="s">
        <v>1123</v>
      </c>
      <c r="CB59" s="10" t="s">
        <v>122</v>
      </c>
      <c r="CC59" s="8" t="s">
        <v>123</v>
      </c>
      <c r="CD59" s="7" t="s">
        <v>694</v>
      </c>
      <c r="CE59" s="7" t="s">
        <v>211</v>
      </c>
      <c r="CF59" s="8" t="s">
        <v>816</v>
      </c>
    </row>
    <row r="60" spans="1:84" ht="165">
      <c r="A60" t="s">
        <v>83</v>
      </c>
      <c r="B60" t="s">
        <v>1536</v>
      </c>
      <c r="C60" t="s">
        <v>85</v>
      </c>
      <c r="D60" t="s">
        <v>85</v>
      </c>
      <c r="E60" t="s">
        <v>85</v>
      </c>
      <c r="F60" t="s">
        <v>1537</v>
      </c>
      <c r="G60" t="s">
        <v>85</v>
      </c>
      <c r="H60" t="s">
        <v>85</v>
      </c>
      <c r="I60" s="5" t="s">
        <v>1538</v>
      </c>
      <c r="J60" t="s">
        <v>579</v>
      </c>
      <c r="K60" t="s">
        <v>85</v>
      </c>
      <c r="L60" t="s">
        <v>85</v>
      </c>
      <c r="M60" t="s">
        <v>89</v>
      </c>
      <c r="N60" t="s">
        <v>90</v>
      </c>
      <c r="O60" t="s">
        <v>85</v>
      </c>
      <c r="P60" t="s">
        <v>85</v>
      </c>
      <c r="Q60" t="s">
        <v>85</v>
      </c>
      <c r="R60" t="s">
        <v>85</v>
      </c>
      <c r="S60" t="s">
        <v>85</v>
      </c>
      <c r="T60" t="s">
        <v>1539</v>
      </c>
      <c r="U60" t="s">
        <v>1540</v>
      </c>
      <c r="V60" s="5" t="s">
        <v>1541</v>
      </c>
      <c r="W60" t="s">
        <v>1542</v>
      </c>
      <c r="X60" t="s">
        <v>1543</v>
      </c>
      <c r="Y60" t="s">
        <v>1544</v>
      </c>
      <c r="Z60" t="s">
        <v>1545</v>
      </c>
      <c r="AA60" t="s">
        <v>85</v>
      </c>
      <c r="AB60" t="s">
        <v>1546</v>
      </c>
      <c r="AC60" t="s">
        <v>1547</v>
      </c>
      <c r="AD60" t="s">
        <v>1548</v>
      </c>
      <c r="AE60" t="s">
        <v>1549</v>
      </c>
      <c r="AF60" t="s">
        <v>85</v>
      </c>
      <c r="AG60">
        <v>65</v>
      </c>
      <c r="AH60">
        <v>13</v>
      </c>
      <c r="AI60">
        <v>14</v>
      </c>
      <c r="AJ60">
        <v>55</v>
      </c>
      <c r="AK60">
        <v>110</v>
      </c>
      <c r="AL60" t="s">
        <v>137</v>
      </c>
      <c r="AM60" t="s">
        <v>138</v>
      </c>
      <c r="AN60" t="s">
        <v>139</v>
      </c>
      <c r="AO60" t="s">
        <v>85</v>
      </c>
      <c r="AP60" t="s">
        <v>587</v>
      </c>
      <c r="AQ60" t="s">
        <v>85</v>
      </c>
      <c r="AR60" t="s">
        <v>579</v>
      </c>
      <c r="AS60" t="s">
        <v>588</v>
      </c>
      <c r="AT60" t="s">
        <v>714</v>
      </c>
      <c r="AU60" s="6">
        <v>2022</v>
      </c>
      <c r="AV60">
        <v>13</v>
      </c>
      <c r="AW60">
        <v>3</v>
      </c>
      <c r="AX60" t="s">
        <v>85</v>
      </c>
      <c r="AY60" t="s">
        <v>85</v>
      </c>
      <c r="AZ60" t="s">
        <v>85</v>
      </c>
      <c r="BA60" t="s">
        <v>85</v>
      </c>
      <c r="BB60" t="s">
        <v>85</v>
      </c>
      <c r="BC60" t="s">
        <v>85</v>
      </c>
      <c r="BD60">
        <v>473</v>
      </c>
      <c r="BE60" t="s">
        <v>1550</v>
      </c>
      <c r="BF60" t="str">
        <f>HYPERLINK("http://dx.doi.org/10.3390/f13030473","http://dx.doi.org/10.3390/f13030473")</f>
        <v>http://dx.doi.org/10.3390/f13030473</v>
      </c>
      <c r="BG60" t="s">
        <v>85</v>
      </c>
      <c r="BH60" t="s">
        <v>85</v>
      </c>
      <c r="BI60">
        <v>17</v>
      </c>
      <c r="BJ60" s="6" t="s">
        <v>590</v>
      </c>
      <c r="BK60" t="s">
        <v>171</v>
      </c>
      <c r="BL60" t="s">
        <v>590</v>
      </c>
      <c r="BM60" t="s">
        <v>1551</v>
      </c>
      <c r="BN60" t="s">
        <v>85</v>
      </c>
      <c r="BO60" t="s">
        <v>115</v>
      </c>
      <c r="BP60" t="s">
        <v>1552</v>
      </c>
      <c r="BQ60" t="s">
        <v>1553</v>
      </c>
      <c r="BR60" t="s">
        <v>116</v>
      </c>
      <c r="BS60" t="s">
        <v>1554</v>
      </c>
      <c r="BT60" t="str">
        <f>HYPERLINK("https%3A%2F%2Fwww.webofscience.com%2Fwos%2Fwoscc%2Ffull-record%2FWOS:000775503000001","View Full Record in Web of Science")</f>
        <v>View Full Record in Web of Science</v>
      </c>
      <c r="BW60" s="11" t="s">
        <v>365</v>
      </c>
      <c r="BX60" s="10" t="s">
        <v>1555</v>
      </c>
      <c r="BY60" s="7" t="s">
        <v>289</v>
      </c>
      <c r="CA60" s="7" t="s">
        <v>1556</v>
      </c>
      <c r="CB60" s="10" t="s">
        <v>122</v>
      </c>
      <c r="CC60" s="8" t="s">
        <v>123</v>
      </c>
      <c r="CD60" s="7" t="s">
        <v>622</v>
      </c>
      <c r="CE60" s="7" t="s">
        <v>211</v>
      </c>
      <c r="CF60" s="8" t="s">
        <v>1557</v>
      </c>
    </row>
    <row r="61" spans="1:84" ht="210">
      <c r="A61" t="s">
        <v>83</v>
      </c>
      <c r="B61" t="s">
        <v>1558</v>
      </c>
      <c r="C61" t="s">
        <v>85</v>
      </c>
      <c r="D61" t="s">
        <v>85</v>
      </c>
      <c r="E61" t="s">
        <v>85</v>
      </c>
      <c r="F61" t="s">
        <v>1559</v>
      </c>
      <c r="G61" t="s">
        <v>85</v>
      </c>
      <c r="H61" t="s">
        <v>85</v>
      </c>
      <c r="I61" s="5" t="s">
        <v>1560</v>
      </c>
      <c r="J61" t="s">
        <v>1561</v>
      </c>
      <c r="K61" t="s">
        <v>85</v>
      </c>
      <c r="L61" t="s">
        <v>85</v>
      </c>
      <c r="M61" t="s">
        <v>89</v>
      </c>
      <c r="N61" t="s">
        <v>90</v>
      </c>
      <c r="O61" t="s">
        <v>85</v>
      </c>
      <c r="P61" t="s">
        <v>85</v>
      </c>
      <c r="Q61" t="s">
        <v>85</v>
      </c>
      <c r="R61" t="s">
        <v>85</v>
      </c>
      <c r="S61" t="s">
        <v>85</v>
      </c>
      <c r="T61" t="s">
        <v>1562</v>
      </c>
      <c r="U61" t="s">
        <v>1563</v>
      </c>
      <c r="V61" s="5" t="s">
        <v>1564</v>
      </c>
      <c r="W61" t="s">
        <v>1565</v>
      </c>
      <c r="X61" t="s">
        <v>1566</v>
      </c>
      <c r="Y61" t="s">
        <v>1567</v>
      </c>
      <c r="Z61" t="s">
        <v>1568</v>
      </c>
      <c r="AA61" t="s">
        <v>1569</v>
      </c>
      <c r="AB61" t="s">
        <v>1570</v>
      </c>
      <c r="AC61" t="s">
        <v>85</v>
      </c>
      <c r="AD61" t="s">
        <v>85</v>
      </c>
      <c r="AE61" t="s">
        <v>85</v>
      </c>
      <c r="AF61" t="s">
        <v>85</v>
      </c>
      <c r="AG61">
        <v>186</v>
      </c>
      <c r="AH61">
        <v>8</v>
      </c>
      <c r="AI61">
        <v>8</v>
      </c>
      <c r="AJ61">
        <v>8</v>
      </c>
      <c r="AK61">
        <v>22</v>
      </c>
      <c r="AL61" t="s">
        <v>680</v>
      </c>
      <c r="AM61" t="s">
        <v>102</v>
      </c>
      <c r="AN61" t="s">
        <v>681</v>
      </c>
      <c r="AO61" t="s">
        <v>1571</v>
      </c>
      <c r="AP61" t="s">
        <v>1572</v>
      </c>
      <c r="AQ61" t="s">
        <v>85</v>
      </c>
      <c r="AR61" t="s">
        <v>1573</v>
      </c>
      <c r="AS61" t="s">
        <v>1574</v>
      </c>
      <c r="AT61" t="s">
        <v>714</v>
      </c>
      <c r="AU61" s="6">
        <v>2022</v>
      </c>
      <c r="AV61">
        <v>74</v>
      </c>
      <c r="AW61" t="s">
        <v>85</v>
      </c>
      <c r="AX61" t="s">
        <v>85</v>
      </c>
      <c r="AY61" t="s">
        <v>85</v>
      </c>
      <c r="AZ61" t="s">
        <v>85</v>
      </c>
      <c r="BA61" t="s">
        <v>85</v>
      </c>
      <c r="BB61" t="s">
        <v>85</v>
      </c>
      <c r="BC61" t="s">
        <v>85</v>
      </c>
      <c r="BD61">
        <v>102755</v>
      </c>
      <c r="BE61" t="s">
        <v>1575</v>
      </c>
      <c r="BF61" t="str">
        <f>HYPERLINK("http://dx.doi.org/10.1016/j.healthplace.2022.102755","http://dx.doi.org/10.1016/j.healthplace.2022.102755")</f>
        <v>http://dx.doi.org/10.1016/j.healthplace.2022.102755</v>
      </c>
      <c r="BG61" t="s">
        <v>85</v>
      </c>
      <c r="BH61" t="s">
        <v>1576</v>
      </c>
      <c r="BI61">
        <v>12</v>
      </c>
      <c r="BJ61" s="6" t="s">
        <v>616</v>
      </c>
      <c r="BK61" t="s">
        <v>171</v>
      </c>
      <c r="BL61" t="s">
        <v>616</v>
      </c>
      <c r="BM61" t="s">
        <v>1577</v>
      </c>
      <c r="BN61">
        <v>35183924</v>
      </c>
      <c r="BO61" t="s">
        <v>85</v>
      </c>
      <c r="BP61" t="s">
        <v>85</v>
      </c>
      <c r="BQ61" t="s">
        <v>85</v>
      </c>
      <c r="BR61" t="s">
        <v>116</v>
      </c>
      <c r="BS61" t="s">
        <v>1578</v>
      </c>
      <c r="BT61" t="str">
        <f>HYPERLINK("https%3A%2F%2Fwww.webofscience.com%2Fwos%2Fwoscc%2Ffull-record%2FWOS:000801620400002","View Full Record in Web of Science")</f>
        <v>View Full Record in Web of Science</v>
      </c>
      <c r="BW61" s="11" t="s">
        <v>365</v>
      </c>
      <c r="BX61" s="10" t="s">
        <v>1579</v>
      </c>
      <c r="BY61" s="7" t="s">
        <v>1580</v>
      </c>
      <c r="CA61" s="7" t="s">
        <v>1581</v>
      </c>
      <c r="CB61" s="10" t="s">
        <v>122</v>
      </c>
      <c r="CC61" s="8" t="s">
        <v>123</v>
      </c>
      <c r="CD61" s="7" t="s">
        <v>622</v>
      </c>
      <c r="CE61" s="7" t="s">
        <v>211</v>
      </c>
      <c r="CF61" s="8" t="s">
        <v>260</v>
      </c>
    </row>
    <row r="62" spans="1:84" ht="195">
      <c r="A62" t="s">
        <v>83</v>
      </c>
      <c r="B62" t="s">
        <v>1582</v>
      </c>
      <c r="C62" t="s">
        <v>85</v>
      </c>
      <c r="D62" t="s">
        <v>85</v>
      </c>
      <c r="E62" t="s">
        <v>85</v>
      </c>
      <c r="F62" t="s">
        <v>1583</v>
      </c>
      <c r="G62" t="s">
        <v>85</v>
      </c>
      <c r="H62" t="s">
        <v>85</v>
      </c>
      <c r="I62" s="5" t="s">
        <v>1584</v>
      </c>
      <c r="J62" t="s">
        <v>793</v>
      </c>
      <c r="K62" t="s">
        <v>85</v>
      </c>
      <c r="L62" t="s">
        <v>85</v>
      </c>
      <c r="M62" t="s">
        <v>89</v>
      </c>
      <c r="N62" t="s">
        <v>90</v>
      </c>
      <c r="O62" t="s">
        <v>85</v>
      </c>
      <c r="P62" t="s">
        <v>85</v>
      </c>
      <c r="Q62" t="s">
        <v>85</v>
      </c>
      <c r="R62" t="s">
        <v>85</v>
      </c>
      <c r="S62" t="s">
        <v>85</v>
      </c>
      <c r="T62" t="s">
        <v>1585</v>
      </c>
      <c r="U62" t="s">
        <v>1586</v>
      </c>
      <c r="V62" s="5" t="s">
        <v>1587</v>
      </c>
      <c r="W62" t="s">
        <v>1588</v>
      </c>
      <c r="X62" t="s">
        <v>1589</v>
      </c>
      <c r="Y62" t="s">
        <v>1590</v>
      </c>
      <c r="Z62" t="s">
        <v>1591</v>
      </c>
      <c r="AA62" t="s">
        <v>1592</v>
      </c>
      <c r="AB62" t="s">
        <v>1593</v>
      </c>
      <c r="AC62" t="s">
        <v>1594</v>
      </c>
      <c r="AD62" t="s">
        <v>1595</v>
      </c>
      <c r="AE62" t="s">
        <v>1596</v>
      </c>
      <c r="AF62" t="s">
        <v>85</v>
      </c>
      <c r="AG62">
        <v>64</v>
      </c>
      <c r="AH62">
        <v>6</v>
      </c>
      <c r="AI62">
        <v>6</v>
      </c>
      <c r="AJ62">
        <v>9</v>
      </c>
      <c r="AK62">
        <v>36</v>
      </c>
      <c r="AL62" t="s">
        <v>193</v>
      </c>
      <c r="AM62" t="s">
        <v>194</v>
      </c>
      <c r="AN62" t="s">
        <v>195</v>
      </c>
      <c r="AO62" t="s">
        <v>804</v>
      </c>
      <c r="AP62" t="s">
        <v>805</v>
      </c>
      <c r="AQ62" t="s">
        <v>85</v>
      </c>
      <c r="AR62" t="s">
        <v>806</v>
      </c>
      <c r="AS62" t="s">
        <v>807</v>
      </c>
      <c r="AT62" t="s">
        <v>1597</v>
      </c>
      <c r="AU62" s="6">
        <v>2022</v>
      </c>
      <c r="AV62">
        <v>813</v>
      </c>
      <c r="AW62" t="s">
        <v>85</v>
      </c>
      <c r="AX62" t="s">
        <v>85</v>
      </c>
      <c r="AY62" t="s">
        <v>85</v>
      </c>
      <c r="AZ62" t="s">
        <v>85</v>
      </c>
      <c r="BA62" t="s">
        <v>85</v>
      </c>
      <c r="BB62" t="s">
        <v>85</v>
      </c>
      <c r="BC62" t="s">
        <v>85</v>
      </c>
      <c r="BD62">
        <v>151859</v>
      </c>
      <c r="BE62" t="s">
        <v>1598</v>
      </c>
      <c r="BF62" t="str">
        <f>HYPERLINK("http://dx.doi.org/10.1016/j.scitotenv.2021.151859","http://dx.doi.org/10.1016/j.scitotenv.2021.151859")</f>
        <v>http://dx.doi.org/10.1016/j.scitotenv.2021.151859</v>
      </c>
      <c r="BG62" t="s">
        <v>85</v>
      </c>
      <c r="BH62" t="s">
        <v>1576</v>
      </c>
      <c r="BI62">
        <v>8</v>
      </c>
      <c r="BJ62" s="6" t="s">
        <v>111</v>
      </c>
      <c r="BK62" t="s">
        <v>171</v>
      </c>
      <c r="BL62" t="s">
        <v>113</v>
      </c>
      <c r="BM62" t="s">
        <v>1599</v>
      </c>
      <c r="BN62">
        <v>34826494</v>
      </c>
      <c r="BO62" t="s">
        <v>85</v>
      </c>
      <c r="BP62" t="s">
        <v>85</v>
      </c>
      <c r="BQ62" t="s">
        <v>85</v>
      </c>
      <c r="BR62" t="s">
        <v>116</v>
      </c>
      <c r="BS62" t="s">
        <v>1600</v>
      </c>
      <c r="BT62" t="str">
        <f>HYPERLINK("https%3A%2F%2Fwww.webofscience.com%2Fwos%2Fwoscc%2Ffull-record%2FWOS:000767232600015","View Full Record in Web of Science")</f>
        <v>View Full Record in Web of Science</v>
      </c>
      <c r="BW62" s="6" t="s">
        <v>365</v>
      </c>
      <c r="BX62" s="10" t="s">
        <v>1601</v>
      </c>
      <c r="BY62" s="7" t="s">
        <v>1580</v>
      </c>
      <c r="CA62" s="10" t="s">
        <v>1602</v>
      </c>
      <c r="CB62" s="10" t="s">
        <v>122</v>
      </c>
      <c r="CC62" s="8" t="s">
        <v>123</v>
      </c>
      <c r="CD62" s="7" t="s">
        <v>1047</v>
      </c>
      <c r="CE62" s="7" t="s">
        <v>211</v>
      </c>
      <c r="CF62" s="8" t="s">
        <v>1603</v>
      </c>
    </row>
    <row r="63" spans="1:84" ht="180">
      <c r="A63" t="s">
        <v>83</v>
      </c>
      <c r="B63" t="s">
        <v>1604</v>
      </c>
      <c r="C63" t="s">
        <v>85</v>
      </c>
      <c r="D63" t="s">
        <v>85</v>
      </c>
      <c r="E63" t="s">
        <v>85</v>
      </c>
      <c r="F63" t="s">
        <v>1605</v>
      </c>
      <c r="G63" t="s">
        <v>85</v>
      </c>
      <c r="H63" t="s">
        <v>85</v>
      </c>
      <c r="I63" s="5" t="s">
        <v>1606</v>
      </c>
      <c r="J63" t="s">
        <v>312</v>
      </c>
      <c r="K63" t="s">
        <v>85</v>
      </c>
      <c r="L63" t="s">
        <v>85</v>
      </c>
      <c r="M63" t="s">
        <v>89</v>
      </c>
      <c r="N63" t="s">
        <v>90</v>
      </c>
      <c r="O63" t="s">
        <v>85</v>
      </c>
      <c r="P63" t="s">
        <v>85</v>
      </c>
      <c r="Q63" t="s">
        <v>85</v>
      </c>
      <c r="R63" t="s">
        <v>85</v>
      </c>
      <c r="S63" t="s">
        <v>85</v>
      </c>
      <c r="T63" t="s">
        <v>1607</v>
      </c>
      <c r="U63" t="s">
        <v>1608</v>
      </c>
      <c r="V63" s="5" t="s">
        <v>1609</v>
      </c>
      <c r="W63" t="s">
        <v>1610</v>
      </c>
      <c r="X63" t="s">
        <v>1611</v>
      </c>
      <c r="Y63" t="s">
        <v>1612</v>
      </c>
      <c r="Z63" t="s">
        <v>1613</v>
      </c>
      <c r="AA63" t="s">
        <v>1614</v>
      </c>
      <c r="AB63" t="s">
        <v>1615</v>
      </c>
      <c r="AC63" t="s">
        <v>85</v>
      </c>
      <c r="AD63" t="s">
        <v>85</v>
      </c>
      <c r="AE63" t="s">
        <v>85</v>
      </c>
      <c r="AF63" t="s">
        <v>85</v>
      </c>
      <c r="AG63">
        <v>123</v>
      </c>
      <c r="AH63">
        <v>32</v>
      </c>
      <c r="AI63">
        <v>34</v>
      </c>
      <c r="AJ63">
        <v>111</v>
      </c>
      <c r="AK63">
        <v>139</v>
      </c>
      <c r="AL63" t="s">
        <v>193</v>
      </c>
      <c r="AM63" t="s">
        <v>194</v>
      </c>
      <c r="AN63" t="s">
        <v>195</v>
      </c>
      <c r="AO63" t="s">
        <v>325</v>
      </c>
      <c r="AP63" t="s">
        <v>326</v>
      </c>
      <c r="AQ63" t="s">
        <v>85</v>
      </c>
      <c r="AR63" t="s">
        <v>327</v>
      </c>
      <c r="AS63" t="s">
        <v>328</v>
      </c>
      <c r="AT63" t="s">
        <v>568</v>
      </c>
      <c r="AU63" s="6">
        <v>2022</v>
      </c>
      <c r="AV63">
        <v>218</v>
      </c>
      <c r="AW63" t="s">
        <v>85</v>
      </c>
      <c r="AX63" t="s">
        <v>85</v>
      </c>
      <c r="AY63" t="s">
        <v>85</v>
      </c>
      <c r="AZ63" t="s">
        <v>85</v>
      </c>
      <c r="BA63" t="s">
        <v>85</v>
      </c>
      <c r="BB63" t="s">
        <v>85</v>
      </c>
      <c r="BC63" t="s">
        <v>85</v>
      </c>
      <c r="BD63">
        <v>104309</v>
      </c>
      <c r="BE63" t="s">
        <v>1616</v>
      </c>
      <c r="BF63" t="str">
        <f>HYPERLINK("http://dx.doi.org/10.1016/j.landurbplan.2021.104309","http://dx.doi.org/10.1016/j.landurbplan.2021.104309")</f>
        <v>http://dx.doi.org/10.1016/j.landurbplan.2021.104309</v>
      </c>
      <c r="BG63" t="s">
        <v>85</v>
      </c>
      <c r="BH63" t="s">
        <v>85</v>
      </c>
      <c r="BI63">
        <v>13</v>
      </c>
      <c r="BJ63" s="6" t="s">
        <v>331</v>
      </c>
      <c r="BK63" t="s">
        <v>171</v>
      </c>
      <c r="BL63" t="s">
        <v>332</v>
      </c>
      <c r="BM63" t="s">
        <v>1617</v>
      </c>
      <c r="BN63" t="s">
        <v>85</v>
      </c>
      <c r="BO63" t="s">
        <v>85</v>
      </c>
      <c r="BP63" t="s">
        <v>1552</v>
      </c>
      <c r="BQ63" t="s">
        <v>1553</v>
      </c>
      <c r="BR63" t="s">
        <v>116</v>
      </c>
      <c r="BS63" t="s">
        <v>1618</v>
      </c>
      <c r="BT63" t="str">
        <f>HYPERLINK("https%3A%2F%2Fwww.webofscience.com%2Fwos%2Fwoscc%2Ffull-record%2FWOS:000725593300004","View Full Record in Web of Science")</f>
        <v>View Full Record in Web of Science</v>
      </c>
      <c r="BW63" s="6" t="s">
        <v>365</v>
      </c>
      <c r="BX63" s="10" t="s">
        <v>1619</v>
      </c>
      <c r="BY63" s="7" t="s">
        <v>289</v>
      </c>
      <c r="CA63" s="10" t="s">
        <v>1620</v>
      </c>
      <c r="CB63" s="10" t="s">
        <v>122</v>
      </c>
      <c r="CC63" s="8" t="s">
        <v>123</v>
      </c>
      <c r="CD63" s="7" t="s">
        <v>694</v>
      </c>
      <c r="CE63" s="7" t="s">
        <v>211</v>
      </c>
      <c r="CF63" s="8" t="s">
        <v>1621</v>
      </c>
    </row>
    <row r="64" spans="1:84" ht="210">
      <c r="A64" t="s">
        <v>83</v>
      </c>
      <c r="B64" t="s">
        <v>1622</v>
      </c>
      <c r="C64" t="s">
        <v>85</v>
      </c>
      <c r="D64" t="s">
        <v>85</v>
      </c>
      <c r="E64" t="s">
        <v>85</v>
      </c>
      <c r="F64" t="s">
        <v>1623</v>
      </c>
      <c r="G64" t="s">
        <v>85</v>
      </c>
      <c r="H64" t="s">
        <v>85</v>
      </c>
      <c r="I64" s="5" t="s">
        <v>1624</v>
      </c>
      <c r="J64" t="s">
        <v>1490</v>
      </c>
      <c r="K64" t="s">
        <v>85</v>
      </c>
      <c r="L64" t="s">
        <v>85</v>
      </c>
      <c r="M64" t="s">
        <v>89</v>
      </c>
      <c r="N64" t="s">
        <v>90</v>
      </c>
      <c r="O64" t="s">
        <v>85</v>
      </c>
      <c r="P64" t="s">
        <v>85</v>
      </c>
      <c r="Q64" t="s">
        <v>85</v>
      </c>
      <c r="R64" t="s">
        <v>85</v>
      </c>
      <c r="S64" t="s">
        <v>85</v>
      </c>
      <c r="T64" t="s">
        <v>1625</v>
      </c>
      <c r="U64" t="s">
        <v>1626</v>
      </c>
      <c r="V64" s="5" t="s">
        <v>1627</v>
      </c>
      <c r="W64" t="s">
        <v>1628</v>
      </c>
      <c r="X64" t="s">
        <v>1629</v>
      </c>
      <c r="Y64" t="s">
        <v>1630</v>
      </c>
      <c r="Z64" t="s">
        <v>1631</v>
      </c>
      <c r="AA64" t="s">
        <v>85</v>
      </c>
      <c r="AB64" t="s">
        <v>1632</v>
      </c>
      <c r="AC64" t="s">
        <v>85</v>
      </c>
      <c r="AD64" t="s">
        <v>85</v>
      </c>
      <c r="AE64" t="s">
        <v>85</v>
      </c>
      <c r="AF64" t="s">
        <v>85</v>
      </c>
      <c r="AG64">
        <v>39</v>
      </c>
      <c r="AH64">
        <v>13</v>
      </c>
      <c r="AI64">
        <v>13</v>
      </c>
      <c r="AJ64">
        <v>5</v>
      </c>
      <c r="AK64">
        <v>35</v>
      </c>
      <c r="AL64" t="s">
        <v>1503</v>
      </c>
      <c r="AM64" t="s">
        <v>1504</v>
      </c>
      <c r="AN64" t="s">
        <v>1505</v>
      </c>
      <c r="AO64" t="s">
        <v>1506</v>
      </c>
      <c r="AP64" t="s">
        <v>1507</v>
      </c>
      <c r="AQ64" t="s">
        <v>85</v>
      </c>
      <c r="AR64" t="s">
        <v>1508</v>
      </c>
      <c r="AS64" t="s">
        <v>1509</v>
      </c>
      <c r="AT64" t="s">
        <v>1633</v>
      </c>
      <c r="AU64" s="6">
        <v>2022</v>
      </c>
      <c r="AV64">
        <v>208</v>
      </c>
      <c r="AW64" t="s">
        <v>85</v>
      </c>
      <c r="AX64" t="s">
        <v>85</v>
      </c>
      <c r="AY64" t="s">
        <v>85</v>
      </c>
      <c r="AZ64" t="s">
        <v>85</v>
      </c>
      <c r="BA64" t="s">
        <v>85</v>
      </c>
      <c r="BB64" t="s">
        <v>85</v>
      </c>
      <c r="BC64" t="s">
        <v>85</v>
      </c>
      <c r="BD64">
        <v>112603</v>
      </c>
      <c r="BE64" t="s">
        <v>1634</v>
      </c>
      <c r="BF64" t="str">
        <f>HYPERLINK("http://dx.doi.org/10.1016/j.envres.2021.112603","http://dx.doi.org/10.1016/j.envres.2021.112603")</f>
        <v>http://dx.doi.org/10.1016/j.envres.2021.112603</v>
      </c>
      <c r="BG64" t="s">
        <v>85</v>
      </c>
      <c r="BH64" t="s">
        <v>1635</v>
      </c>
      <c r="BI64">
        <v>10</v>
      </c>
      <c r="BJ64" s="6" t="s">
        <v>889</v>
      </c>
      <c r="BK64" t="s">
        <v>171</v>
      </c>
      <c r="BL64" t="s">
        <v>890</v>
      </c>
      <c r="BM64" t="s">
        <v>1636</v>
      </c>
      <c r="BN64">
        <v>34995548</v>
      </c>
      <c r="BO64" t="s">
        <v>1015</v>
      </c>
      <c r="BP64" t="s">
        <v>85</v>
      </c>
      <c r="BQ64" t="s">
        <v>85</v>
      </c>
      <c r="BR64" t="s">
        <v>116</v>
      </c>
      <c r="BS64" t="s">
        <v>1637</v>
      </c>
      <c r="BT64" t="str">
        <f>HYPERLINK("https%3A%2F%2Fwww.webofscience.com%2Fwos%2Fwoscc%2Ffull-record%2FWOS:000752033300008","View Full Record in Web of Science")</f>
        <v>View Full Record in Web of Science</v>
      </c>
      <c r="BW64" s="6" t="s">
        <v>149</v>
      </c>
      <c r="BX64" s="10" t="s">
        <v>1638</v>
      </c>
      <c r="BY64" s="7" t="s">
        <v>289</v>
      </c>
      <c r="BZ64">
        <v>1</v>
      </c>
      <c r="CA64" s="10" t="s">
        <v>258</v>
      </c>
      <c r="CB64" s="10" t="s">
        <v>122</v>
      </c>
      <c r="CC64" s="8" t="s">
        <v>123</v>
      </c>
      <c r="CD64" s="7" t="s">
        <v>1639</v>
      </c>
      <c r="CE64" s="7" t="s">
        <v>211</v>
      </c>
      <c r="CF64" s="8" t="s">
        <v>1517</v>
      </c>
    </row>
    <row r="65" spans="1:84" ht="180">
      <c r="A65" t="s">
        <v>83</v>
      </c>
      <c r="B65" t="s">
        <v>1640</v>
      </c>
      <c r="C65" t="s">
        <v>85</v>
      </c>
      <c r="D65" t="s">
        <v>85</v>
      </c>
      <c r="E65" t="s">
        <v>85</v>
      </c>
      <c r="F65" t="s">
        <v>1641</v>
      </c>
      <c r="G65" t="s">
        <v>85</v>
      </c>
      <c r="H65" t="s">
        <v>85</v>
      </c>
      <c r="I65" s="5" t="s">
        <v>1642</v>
      </c>
      <c r="J65" t="s">
        <v>264</v>
      </c>
      <c r="K65" t="s">
        <v>85</v>
      </c>
      <c r="L65" t="s">
        <v>85</v>
      </c>
      <c r="M65" t="s">
        <v>89</v>
      </c>
      <c r="N65" t="s">
        <v>90</v>
      </c>
      <c r="O65" t="s">
        <v>85</v>
      </c>
      <c r="P65" t="s">
        <v>85</v>
      </c>
      <c r="Q65" t="s">
        <v>85</v>
      </c>
      <c r="R65" t="s">
        <v>85</v>
      </c>
      <c r="S65" t="s">
        <v>85</v>
      </c>
      <c r="T65" t="s">
        <v>1643</v>
      </c>
      <c r="U65" t="s">
        <v>1644</v>
      </c>
      <c r="V65" s="5" t="s">
        <v>1645</v>
      </c>
      <c r="W65" t="s">
        <v>1646</v>
      </c>
      <c r="X65" t="s">
        <v>1647</v>
      </c>
      <c r="Y65" t="s">
        <v>1648</v>
      </c>
      <c r="Z65" t="s">
        <v>1649</v>
      </c>
      <c r="AA65" t="s">
        <v>85</v>
      </c>
      <c r="AB65" t="s">
        <v>1650</v>
      </c>
      <c r="AC65" t="s">
        <v>1651</v>
      </c>
      <c r="AD65" t="s">
        <v>1652</v>
      </c>
      <c r="AE65" t="s">
        <v>1653</v>
      </c>
      <c r="AF65" t="s">
        <v>85</v>
      </c>
      <c r="AG65">
        <v>63</v>
      </c>
      <c r="AH65">
        <v>12</v>
      </c>
      <c r="AI65">
        <v>13</v>
      </c>
      <c r="AJ65">
        <v>22</v>
      </c>
      <c r="AK65">
        <v>65</v>
      </c>
      <c r="AL65" t="s">
        <v>275</v>
      </c>
      <c r="AM65" t="s">
        <v>276</v>
      </c>
      <c r="AN65" t="s">
        <v>277</v>
      </c>
      <c r="AO65" t="s">
        <v>278</v>
      </c>
      <c r="AP65" t="s">
        <v>279</v>
      </c>
      <c r="AQ65" t="s">
        <v>85</v>
      </c>
      <c r="AR65" t="s">
        <v>280</v>
      </c>
      <c r="AS65" t="s">
        <v>281</v>
      </c>
      <c r="AT65" t="s">
        <v>568</v>
      </c>
      <c r="AU65" s="6">
        <v>2022</v>
      </c>
      <c r="AV65">
        <v>68</v>
      </c>
      <c r="AW65" t="s">
        <v>85</v>
      </c>
      <c r="AX65" t="s">
        <v>85</v>
      </c>
      <c r="AY65" t="s">
        <v>85</v>
      </c>
      <c r="AZ65" t="s">
        <v>85</v>
      </c>
      <c r="BA65" t="s">
        <v>85</v>
      </c>
      <c r="BB65" t="s">
        <v>85</v>
      </c>
      <c r="BC65" t="s">
        <v>85</v>
      </c>
      <c r="BD65">
        <v>127480</v>
      </c>
      <c r="BE65" t="s">
        <v>1654</v>
      </c>
      <c r="BF65" t="str">
        <f>HYPERLINK("http://dx.doi.org/10.1016/j.ufug.2022.127480","http://dx.doi.org/10.1016/j.ufug.2022.127480")</f>
        <v>http://dx.doi.org/10.1016/j.ufug.2022.127480</v>
      </c>
      <c r="BG65" t="s">
        <v>85</v>
      </c>
      <c r="BH65" t="s">
        <v>1635</v>
      </c>
      <c r="BI65">
        <v>10</v>
      </c>
      <c r="BJ65" s="6" t="s">
        <v>284</v>
      </c>
      <c r="BK65" t="s">
        <v>171</v>
      </c>
      <c r="BL65" t="s">
        <v>285</v>
      </c>
      <c r="BM65" t="s">
        <v>1655</v>
      </c>
      <c r="BN65" t="s">
        <v>85</v>
      </c>
      <c r="BO65" t="s">
        <v>85</v>
      </c>
      <c r="BP65" t="s">
        <v>85</v>
      </c>
      <c r="BQ65" t="s">
        <v>85</v>
      </c>
      <c r="BR65" t="s">
        <v>116</v>
      </c>
      <c r="BS65" t="s">
        <v>1656</v>
      </c>
      <c r="BT65" t="str">
        <f>HYPERLINK("https%3A%2F%2Fwww.webofscience.com%2Fwos%2Fwoscc%2Ffull-record%2FWOS:000789608500008","View Full Record in Web of Science")</f>
        <v>View Full Record in Web of Science</v>
      </c>
      <c r="BW65" s="6" t="s">
        <v>149</v>
      </c>
      <c r="BX65" s="10" t="s">
        <v>1657</v>
      </c>
      <c r="BY65" s="7" t="s">
        <v>289</v>
      </c>
      <c r="CA65" s="10" t="s">
        <v>1658</v>
      </c>
      <c r="CB65" s="10" t="s">
        <v>122</v>
      </c>
      <c r="CC65" s="8" t="s">
        <v>123</v>
      </c>
      <c r="CD65" s="7" t="s">
        <v>1019</v>
      </c>
      <c r="CE65" s="7" t="s">
        <v>211</v>
      </c>
      <c r="CF65" s="8" t="s">
        <v>623</v>
      </c>
    </row>
    <row r="66" spans="1:84" s="16" customFormat="1" ht="180">
      <c r="A66" s="16" t="s">
        <v>83</v>
      </c>
      <c r="B66" s="16" t="s">
        <v>1659</v>
      </c>
      <c r="C66" s="16" t="s">
        <v>85</v>
      </c>
      <c r="D66" s="16" t="s">
        <v>85</v>
      </c>
      <c r="E66" s="16" t="s">
        <v>85</v>
      </c>
      <c r="F66" s="16" t="s">
        <v>1660</v>
      </c>
      <c r="G66" s="16" t="s">
        <v>85</v>
      </c>
      <c r="H66" s="16" t="s">
        <v>85</v>
      </c>
      <c r="I66" s="17" t="s">
        <v>1661</v>
      </c>
      <c r="J66" s="16" t="s">
        <v>1662</v>
      </c>
      <c r="K66" s="16" t="s">
        <v>85</v>
      </c>
      <c r="L66" s="16" t="s">
        <v>85</v>
      </c>
      <c r="M66" s="16" t="s">
        <v>89</v>
      </c>
      <c r="N66" s="16" t="s">
        <v>90</v>
      </c>
      <c r="O66" s="16" t="s">
        <v>85</v>
      </c>
      <c r="P66" s="16" t="s">
        <v>85</v>
      </c>
      <c r="Q66" s="16" t="s">
        <v>85</v>
      </c>
      <c r="R66" s="16" t="s">
        <v>85</v>
      </c>
      <c r="S66" s="16" t="s">
        <v>85</v>
      </c>
      <c r="T66" s="16" t="s">
        <v>1663</v>
      </c>
      <c r="U66" s="16" t="s">
        <v>1664</v>
      </c>
      <c r="V66" s="17" t="s">
        <v>1665</v>
      </c>
      <c r="W66" s="16" t="s">
        <v>1666</v>
      </c>
      <c r="X66" s="16" t="s">
        <v>1667</v>
      </c>
      <c r="Y66" s="16" t="s">
        <v>1668</v>
      </c>
      <c r="Z66" s="16" t="s">
        <v>1669</v>
      </c>
      <c r="AA66" s="16" t="s">
        <v>1670</v>
      </c>
      <c r="AB66" s="16" t="s">
        <v>1671</v>
      </c>
      <c r="AC66" s="16" t="s">
        <v>1672</v>
      </c>
      <c r="AD66" s="16" t="s">
        <v>1673</v>
      </c>
      <c r="AE66" s="16" t="s">
        <v>1674</v>
      </c>
      <c r="AF66" s="16" t="s">
        <v>85</v>
      </c>
      <c r="AG66" s="16">
        <v>33</v>
      </c>
      <c r="AH66" s="16">
        <v>1</v>
      </c>
      <c r="AI66" s="16">
        <v>1</v>
      </c>
      <c r="AJ66" s="16">
        <v>1</v>
      </c>
      <c r="AK66" s="16">
        <v>6</v>
      </c>
      <c r="AL66" s="16" t="s">
        <v>1675</v>
      </c>
      <c r="AM66" s="16" t="s">
        <v>1676</v>
      </c>
      <c r="AN66" s="16" t="s">
        <v>1677</v>
      </c>
      <c r="AO66" s="16" t="s">
        <v>1678</v>
      </c>
      <c r="AP66" s="16" t="s">
        <v>1679</v>
      </c>
      <c r="AQ66" s="16" t="s">
        <v>85</v>
      </c>
      <c r="AR66" s="16" t="s">
        <v>1680</v>
      </c>
      <c r="AS66" s="16" t="s">
        <v>1681</v>
      </c>
      <c r="AT66" s="16" t="s">
        <v>1682</v>
      </c>
      <c r="AU66" s="18">
        <v>2022</v>
      </c>
      <c r="AV66" s="16">
        <v>25</v>
      </c>
      <c r="AW66" s="16">
        <v>1</v>
      </c>
      <c r="AX66" s="16" t="s">
        <v>85</v>
      </c>
      <c r="AY66" s="16" t="s">
        <v>85</v>
      </c>
      <c r="AZ66" s="16" t="s">
        <v>485</v>
      </c>
      <c r="BA66" s="16" t="s">
        <v>85</v>
      </c>
      <c r="BB66" s="16">
        <v>49</v>
      </c>
      <c r="BC66" s="16">
        <v>58</v>
      </c>
      <c r="BD66" s="16" t="s">
        <v>85</v>
      </c>
      <c r="BE66" s="16" t="s">
        <v>1683</v>
      </c>
      <c r="BF66" s="16" t="str">
        <f>HYPERLINK("http://dx.doi.org/10.14321/aehm.025.01.49","http://dx.doi.org/10.14321/aehm.025.01.49")</f>
        <v>http://dx.doi.org/10.14321/aehm.025.01.49</v>
      </c>
      <c r="BG66" s="16" t="s">
        <v>85</v>
      </c>
      <c r="BH66" s="16" t="s">
        <v>85</v>
      </c>
      <c r="BI66" s="16">
        <v>10</v>
      </c>
      <c r="BJ66" s="18" t="s">
        <v>1684</v>
      </c>
      <c r="BK66" s="16" t="s">
        <v>112</v>
      </c>
      <c r="BL66" s="16" t="s">
        <v>1685</v>
      </c>
      <c r="BM66" s="16" t="s">
        <v>1686</v>
      </c>
      <c r="BN66" s="16" t="s">
        <v>85</v>
      </c>
      <c r="BO66" s="16" t="s">
        <v>85</v>
      </c>
      <c r="BP66" s="16" t="s">
        <v>85</v>
      </c>
      <c r="BQ66" s="16" t="s">
        <v>85</v>
      </c>
      <c r="BR66" s="16" t="s">
        <v>116</v>
      </c>
      <c r="BS66" s="16" t="s">
        <v>1687</v>
      </c>
      <c r="BT66" s="16" t="str">
        <f>HYPERLINK("https%3A%2F%2Fwww.webofscience.com%2Fwos%2Fwoscc%2Ffull-record%2FWOS:000811497400007","View Full Record in Web of Science")</f>
        <v>View Full Record in Web of Science</v>
      </c>
      <c r="BW66" s="18" t="s">
        <v>491</v>
      </c>
      <c r="BX66" s="19"/>
      <c r="BY66" s="19"/>
      <c r="CA66" s="19"/>
      <c r="CB66" s="19"/>
    </row>
    <row r="67" spans="1:84" ht="210">
      <c r="A67" t="s">
        <v>83</v>
      </c>
      <c r="B67" t="s">
        <v>1688</v>
      </c>
      <c r="C67" t="s">
        <v>85</v>
      </c>
      <c r="D67" t="s">
        <v>85</v>
      </c>
      <c r="E67" t="s">
        <v>85</v>
      </c>
      <c r="F67" t="s">
        <v>1689</v>
      </c>
      <c r="G67" t="s">
        <v>85</v>
      </c>
      <c r="H67" t="s">
        <v>85</v>
      </c>
      <c r="I67" s="5" t="s">
        <v>1690</v>
      </c>
      <c r="J67" t="s">
        <v>312</v>
      </c>
      <c r="K67" t="s">
        <v>85</v>
      </c>
      <c r="L67" t="s">
        <v>85</v>
      </c>
      <c r="M67" t="s">
        <v>89</v>
      </c>
      <c r="N67" t="s">
        <v>90</v>
      </c>
      <c r="O67" t="s">
        <v>85</v>
      </c>
      <c r="P67" t="s">
        <v>85</v>
      </c>
      <c r="Q67" t="s">
        <v>85</v>
      </c>
      <c r="R67" t="s">
        <v>85</v>
      </c>
      <c r="S67" t="s">
        <v>85</v>
      </c>
      <c r="T67" t="s">
        <v>1691</v>
      </c>
      <c r="U67" t="s">
        <v>1692</v>
      </c>
      <c r="V67" s="5" t="s">
        <v>1693</v>
      </c>
      <c r="W67" t="s">
        <v>1694</v>
      </c>
      <c r="X67" t="s">
        <v>1695</v>
      </c>
      <c r="Y67" t="s">
        <v>1696</v>
      </c>
      <c r="Z67" t="s">
        <v>1697</v>
      </c>
      <c r="AA67" t="s">
        <v>85</v>
      </c>
      <c r="AB67" t="s">
        <v>85</v>
      </c>
      <c r="AC67" t="s">
        <v>85</v>
      </c>
      <c r="AD67" t="s">
        <v>85</v>
      </c>
      <c r="AE67" t="s">
        <v>85</v>
      </c>
      <c r="AF67" t="s">
        <v>85</v>
      </c>
      <c r="AG67">
        <v>44</v>
      </c>
      <c r="AH67">
        <v>9</v>
      </c>
      <c r="AI67">
        <v>9</v>
      </c>
      <c r="AJ67">
        <v>12</v>
      </c>
      <c r="AK67">
        <v>72</v>
      </c>
      <c r="AL67" t="s">
        <v>193</v>
      </c>
      <c r="AM67" t="s">
        <v>194</v>
      </c>
      <c r="AN67" t="s">
        <v>195</v>
      </c>
      <c r="AO67" t="s">
        <v>325</v>
      </c>
      <c r="AP67" t="s">
        <v>326</v>
      </c>
      <c r="AQ67" t="s">
        <v>85</v>
      </c>
      <c r="AR67" t="s">
        <v>327</v>
      </c>
      <c r="AS67" t="s">
        <v>328</v>
      </c>
      <c r="AT67" t="s">
        <v>544</v>
      </c>
      <c r="AU67" s="6">
        <v>2022</v>
      </c>
      <c r="AV67">
        <v>217</v>
      </c>
      <c r="AW67" t="s">
        <v>85</v>
      </c>
      <c r="AX67" t="s">
        <v>85</v>
      </c>
      <c r="AY67" t="s">
        <v>85</v>
      </c>
      <c r="AZ67" t="s">
        <v>85</v>
      </c>
      <c r="BA67" t="s">
        <v>85</v>
      </c>
      <c r="BB67" t="s">
        <v>85</v>
      </c>
      <c r="BC67" t="s">
        <v>85</v>
      </c>
      <c r="BD67">
        <v>104282</v>
      </c>
      <c r="BE67" t="s">
        <v>1698</v>
      </c>
      <c r="BF67" t="str">
        <f>HYPERLINK("http://dx.doi.org/10.1016/j.landurbplan.2021.104282","http://dx.doi.org/10.1016/j.landurbplan.2021.104282")</f>
        <v>http://dx.doi.org/10.1016/j.landurbplan.2021.104282</v>
      </c>
      <c r="BG67" t="s">
        <v>85</v>
      </c>
      <c r="BH67" t="s">
        <v>85</v>
      </c>
      <c r="BI67">
        <v>9</v>
      </c>
      <c r="BJ67" s="6" t="s">
        <v>331</v>
      </c>
      <c r="BK67" t="s">
        <v>171</v>
      </c>
      <c r="BL67" t="s">
        <v>332</v>
      </c>
      <c r="BM67" t="s">
        <v>1699</v>
      </c>
      <c r="BN67" t="s">
        <v>85</v>
      </c>
      <c r="BO67" t="s">
        <v>85</v>
      </c>
      <c r="BP67" t="s">
        <v>85</v>
      </c>
      <c r="BQ67" t="s">
        <v>85</v>
      </c>
      <c r="BR67" t="s">
        <v>116</v>
      </c>
      <c r="BS67" t="s">
        <v>1700</v>
      </c>
      <c r="BT67" t="str">
        <f>HYPERLINK("https%3A%2F%2Fwww.webofscience.com%2Fwos%2Fwoscc%2Ffull-record%2FWOS:000709927500006","View Full Record in Web of Science")</f>
        <v>View Full Record in Web of Science</v>
      </c>
      <c r="BW67" s="6" t="s">
        <v>149</v>
      </c>
      <c r="BX67" s="10" t="s">
        <v>1701</v>
      </c>
      <c r="BY67" s="10" t="s">
        <v>289</v>
      </c>
      <c r="CA67" s="10" t="s">
        <v>1702</v>
      </c>
      <c r="CB67" s="10" t="s">
        <v>122</v>
      </c>
      <c r="CC67" s="8" t="s">
        <v>123</v>
      </c>
      <c r="CD67" s="7" t="s">
        <v>1019</v>
      </c>
      <c r="CE67" s="7" t="s">
        <v>1068</v>
      </c>
      <c r="CF67" s="8" t="s">
        <v>1703</v>
      </c>
    </row>
    <row r="68" spans="1:84" s="12" customFormat="1" ht="120">
      <c r="A68" s="12" t="s">
        <v>83</v>
      </c>
      <c r="B68" s="12" t="s">
        <v>1704</v>
      </c>
      <c r="C68" s="12" t="s">
        <v>85</v>
      </c>
      <c r="D68" s="12" t="s">
        <v>85</v>
      </c>
      <c r="E68" s="12" t="s">
        <v>85</v>
      </c>
      <c r="F68" s="12" t="s">
        <v>1705</v>
      </c>
      <c r="G68" s="12" t="s">
        <v>85</v>
      </c>
      <c r="H68" s="12" t="s">
        <v>85</v>
      </c>
      <c r="I68" s="20" t="s">
        <v>1706</v>
      </c>
      <c r="J68" s="12" t="s">
        <v>1707</v>
      </c>
      <c r="K68" s="12" t="s">
        <v>85</v>
      </c>
      <c r="L68" s="12" t="s">
        <v>85</v>
      </c>
      <c r="M68" s="12" t="s">
        <v>89</v>
      </c>
      <c r="N68" s="12" t="s">
        <v>90</v>
      </c>
      <c r="O68" s="12" t="s">
        <v>85</v>
      </c>
      <c r="P68" s="12" t="s">
        <v>85</v>
      </c>
      <c r="Q68" s="12" t="s">
        <v>85</v>
      </c>
      <c r="R68" s="12" t="s">
        <v>85</v>
      </c>
      <c r="S68" s="12" t="s">
        <v>85</v>
      </c>
      <c r="T68" s="12" t="s">
        <v>85</v>
      </c>
      <c r="U68" s="12" t="s">
        <v>1708</v>
      </c>
      <c r="V68" s="13" t="s">
        <v>1709</v>
      </c>
      <c r="W68" s="12" t="s">
        <v>1710</v>
      </c>
      <c r="X68" s="12" t="s">
        <v>1711</v>
      </c>
      <c r="Y68" s="12" t="s">
        <v>1712</v>
      </c>
      <c r="Z68" s="12" t="s">
        <v>1713</v>
      </c>
      <c r="AA68" s="12" t="s">
        <v>1714</v>
      </c>
      <c r="AB68" s="12" t="s">
        <v>85</v>
      </c>
      <c r="AC68" s="12" t="s">
        <v>85</v>
      </c>
      <c r="AD68" s="12" t="s">
        <v>85</v>
      </c>
      <c r="AE68" s="12" t="s">
        <v>85</v>
      </c>
      <c r="AF68" s="12" t="s">
        <v>85</v>
      </c>
      <c r="AG68" s="12">
        <v>57</v>
      </c>
      <c r="AH68" s="12">
        <v>0</v>
      </c>
      <c r="AI68" s="12">
        <v>0</v>
      </c>
      <c r="AJ68" s="12">
        <v>1</v>
      </c>
      <c r="AK68" s="12">
        <v>5</v>
      </c>
      <c r="AL68" s="12" t="s">
        <v>1715</v>
      </c>
      <c r="AM68" s="12" t="s">
        <v>1716</v>
      </c>
      <c r="AN68" s="12" t="s">
        <v>1717</v>
      </c>
      <c r="AO68" s="12" t="s">
        <v>1718</v>
      </c>
      <c r="AP68" s="12" t="s">
        <v>1719</v>
      </c>
      <c r="AQ68" s="12" t="s">
        <v>85</v>
      </c>
      <c r="AR68" s="12" t="s">
        <v>1720</v>
      </c>
      <c r="AS68" s="12" t="s">
        <v>1721</v>
      </c>
      <c r="AT68" s="12" t="s">
        <v>143</v>
      </c>
      <c r="AU68" s="14">
        <v>2022</v>
      </c>
      <c r="AV68" s="12">
        <v>60</v>
      </c>
      <c r="AW68" s="12">
        <v>7</v>
      </c>
      <c r="AX68" s="12" t="s">
        <v>85</v>
      </c>
      <c r="AY68" s="12" t="s">
        <v>85</v>
      </c>
      <c r="AZ68" s="12" t="s">
        <v>85</v>
      </c>
      <c r="BA68" s="12" t="s">
        <v>85</v>
      </c>
      <c r="BB68" s="12">
        <v>23</v>
      </c>
      <c r="BC68" s="12">
        <v>31</v>
      </c>
      <c r="BD68" s="12" t="s">
        <v>85</v>
      </c>
      <c r="BE68" s="12" t="s">
        <v>1722</v>
      </c>
      <c r="BF68" s="12" t="str">
        <f>HYPERLINK("http://dx.doi.org/10.3928/02793695-20211214-01","http://dx.doi.org/10.3928/02793695-20211214-01")</f>
        <v>http://dx.doi.org/10.3928/02793695-20211214-01</v>
      </c>
      <c r="BG68" s="12" t="s">
        <v>85</v>
      </c>
      <c r="BH68" s="12" t="s">
        <v>1723</v>
      </c>
      <c r="BI68" s="12">
        <v>9</v>
      </c>
      <c r="BJ68" s="14" t="s">
        <v>1724</v>
      </c>
      <c r="BK68" s="12" t="s">
        <v>171</v>
      </c>
      <c r="BL68" s="12" t="s">
        <v>1724</v>
      </c>
      <c r="BM68" s="12" t="s">
        <v>1725</v>
      </c>
      <c r="BN68" s="12">
        <v>34932420</v>
      </c>
      <c r="BO68" s="12" t="s">
        <v>85</v>
      </c>
      <c r="BP68" s="12" t="s">
        <v>85</v>
      </c>
      <c r="BQ68" s="12" t="s">
        <v>85</v>
      </c>
      <c r="BR68" s="12" t="s">
        <v>116</v>
      </c>
      <c r="BS68" s="12" t="s">
        <v>1726</v>
      </c>
      <c r="BT68" s="12" t="str">
        <f>HYPERLINK("https%3A%2F%2Fwww.webofscience.com%2Fwos%2Fwoscc%2Ffull-record%2FWOS:000752111100001","View Full Record in Web of Science")</f>
        <v>View Full Record in Web of Science</v>
      </c>
      <c r="BW68" s="14" t="s">
        <v>149</v>
      </c>
      <c r="BX68" s="15" t="s">
        <v>1727</v>
      </c>
      <c r="BY68" s="15"/>
      <c r="CA68" s="15" t="s">
        <v>1728</v>
      </c>
      <c r="CB68" s="10" t="s">
        <v>122</v>
      </c>
      <c r="CC68" s="8" t="s">
        <v>123</v>
      </c>
      <c r="CD68" s="7" t="s">
        <v>1019</v>
      </c>
      <c r="CE68" s="12" t="s">
        <v>408</v>
      </c>
    </row>
    <row r="69" spans="1:84" ht="180">
      <c r="A69" t="s">
        <v>83</v>
      </c>
      <c r="B69" t="s">
        <v>1729</v>
      </c>
      <c r="C69" t="s">
        <v>85</v>
      </c>
      <c r="D69" t="s">
        <v>85</v>
      </c>
      <c r="E69" t="s">
        <v>85</v>
      </c>
      <c r="F69" t="s">
        <v>1730</v>
      </c>
      <c r="G69" t="s">
        <v>85</v>
      </c>
      <c r="H69" t="s">
        <v>85</v>
      </c>
      <c r="I69" s="5" t="s">
        <v>1731</v>
      </c>
      <c r="J69" t="s">
        <v>1732</v>
      </c>
      <c r="K69" t="s">
        <v>85</v>
      </c>
      <c r="L69" t="s">
        <v>85</v>
      </c>
      <c r="M69" t="s">
        <v>89</v>
      </c>
      <c r="N69" t="s">
        <v>90</v>
      </c>
      <c r="O69" t="s">
        <v>85</v>
      </c>
      <c r="P69" t="s">
        <v>85</v>
      </c>
      <c r="Q69" t="s">
        <v>85</v>
      </c>
      <c r="R69" t="s">
        <v>85</v>
      </c>
      <c r="S69" t="s">
        <v>85</v>
      </c>
      <c r="T69" t="s">
        <v>1733</v>
      </c>
      <c r="U69" t="s">
        <v>1734</v>
      </c>
      <c r="V69" s="5" t="s">
        <v>1735</v>
      </c>
      <c r="W69" t="s">
        <v>1736</v>
      </c>
      <c r="X69" t="s">
        <v>1737</v>
      </c>
      <c r="Y69" t="s">
        <v>1738</v>
      </c>
      <c r="Z69" t="s">
        <v>1739</v>
      </c>
      <c r="AA69" t="s">
        <v>1740</v>
      </c>
      <c r="AB69" t="s">
        <v>1741</v>
      </c>
      <c r="AC69" t="s">
        <v>1742</v>
      </c>
      <c r="AD69" t="s">
        <v>1743</v>
      </c>
      <c r="AE69" t="s">
        <v>1744</v>
      </c>
      <c r="AF69" t="s">
        <v>85</v>
      </c>
      <c r="AG69">
        <v>73</v>
      </c>
      <c r="AH69">
        <v>2</v>
      </c>
      <c r="AI69">
        <v>2</v>
      </c>
      <c r="AJ69">
        <v>7</v>
      </c>
      <c r="AK69">
        <v>26</v>
      </c>
      <c r="AL69" t="s">
        <v>478</v>
      </c>
      <c r="AM69" t="s">
        <v>479</v>
      </c>
      <c r="AN69" t="s">
        <v>480</v>
      </c>
      <c r="AO69" t="s">
        <v>1745</v>
      </c>
      <c r="AP69" t="s">
        <v>1746</v>
      </c>
      <c r="AQ69" t="s">
        <v>85</v>
      </c>
      <c r="AR69" t="s">
        <v>1747</v>
      </c>
      <c r="AS69" t="s">
        <v>1748</v>
      </c>
      <c r="AT69" t="s">
        <v>544</v>
      </c>
      <c r="AU69" s="6">
        <v>2023</v>
      </c>
      <c r="AV69">
        <v>25</v>
      </c>
      <c r="AW69">
        <v>1</v>
      </c>
      <c r="AX69" t="s">
        <v>85</v>
      </c>
      <c r="AY69" t="s">
        <v>85</v>
      </c>
      <c r="AZ69" t="s">
        <v>85</v>
      </c>
      <c r="BA69" t="s">
        <v>85</v>
      </c>
      <c r="BB69">
        <v>122</v>
      </c>
      <c r="BC69">
        <v>137</v>
      </c>
      <c r="BD69" t="s">
        <v>85</v>
      </c>
      <c r="BE69" t="s">
        <v>1749</v>
      </c>
      <c r="BF69" t="str">
        <f>HYPERLINK("http://dx.doi.org/10.1007/s10668-021-02045-0","http://dx.doi.org/10.1007/s10668-021-02045-0")</f>
        <v>http://dx.doi.org/10.1007/s10668-021-02045-0</v>
      </c>
      <c r="BG69" t="s">
        <v>85</v>
      </c>
      <c r="BH69" t="s">
        <v>1723</v>
      </c>
      <c r="BI69">
        <v>16</v>
      </c>
      <c r="BJ69" s="6" t="s">
        <v>1750</v>
      </c>
      <c r="BK69" t="s">
        <v>112</v>
      </c>
      <c r="BL69" t="s">
        <v>172</v>
      </c>
      <c r="BM69" t="s">
        <v>1751</v>
      </c>
      <c r="BN69" t="s">
        <v>85</v>
      </c>
      <c r="BO69" t="s">
        <v>427</v>
      </c>
      <c r="BP69" t="s">
        <v>85</v>
      </c>
      <c r="BQ69" t="s">
        <v>85</v>
      </c>
      <c r="BR69" t="s">
        <v>116</v>
      </c>
      <c r="BS69" t="s">
        <v>1752</v>
      </c>
      <c r="BT69" t="str">
        <f>HYPERLINK("https%3A%2F%2Fwww.webofscience.com%2Fwos%2Fwoscc%2Ffull-record%2FWOS:000732497900001","View Full Record in Web of Science")</f>
        <v>View Full Record in Web of Science</v>
      </c>
      <c r="BW69" s="11" t="s">
        <v>491</v>
      </c>
      <c r="BX69" s="7" t="s">
        <v>1753</v>
      </c>
      <c r="CA69" s="7" t="s">
        <v>1123</v>
      </c>
      <c r="CB69" s="7" t="s">
        <v>122</v>
      </c>
      <c r="CC69" s="7" t="s">
        <v>495</v>
      </c>
      <c r="CD69" s="7" t="s">
        <v>1144</v>
      </c>
      <c r="CF69" s="7" t="s">
        <v>1754</v>
      </c>
    </row>
    <row r="70" spans="1:84" ht="90">
      <c r="A70" t="s">
        <v>83</v>
      </c>
      <c r="B70" t="s">
        <v>1755</v>
      </c>
      <c r="C70" t="s">
        <v>85</v>
      </c>
      <c r="D70" t="s">
        <v>85</v>
      </c>
      <c r="E70" t="s">
        <v>85</v>
      </c>
      <c r="F70" t="s">
        <v>1756</v>
      </c>
      <c r="G70" t="s">
        <v>85</v>
      </c>
      <c r="H70" t="s">
        <v>85</v>
      </c>
      <c r="I70" s="5" t="s">
        <v>1757</v>
      </c>
      <c r="J70" t="s">
        <v>1758</v>
      </c>
      <c r="K70" t="s">
        <v>85</v>
      </c>
      <c r="L70" t="s">
        <v>85</v>
      </c>
      <c r="M70" t="s">
        <v>89</v>
      </c>
      <c r="N70" t="s">
        <v>90</v>
      </c>
      <c r="O70" t="s">
        <v>85</v>
      </c>
      <c r="P70" t="s">
        <v>85</v>
      </c>
      <c r="Q70" t="s">
        <v>85</v>
      </c>
      <c r="R70" t="s">
        <v>85</v>
      </c>
      <c r="S70" t="s">
        <v>85</v>
      </c>
      <c r="T70" t="s">
        <v>85</v>
      </c>
      <c r="U70" t="s">
        <v>1759</v>
      </c>
      <c r="V70" s="5" t="s">
        <v>1760</v>
      </c>
      <c r="W70" t="s">
        <v>1761</v>
      </c>
      <c r="X70" t="s">
        <v>1762</v>
      </c>
      <c r="Y70" t="s">
        <v>1763</v>
      </c>
      <c r="Z70" t="s">
        <v>1764</v>
      </c>
      <c r="AA70" t="s">
        <v>1765</v>
      </c>
      <c r="AB70" t="s">
        <v>1766</v>
      </c>
      <c r="AC70" t="s">
        <v>1767</v>
      </c>
      <c r="AD70" t="s">
        <v>1768</v>
      </c>
      <c r="AE70" t="s">
        <v>1769</v>
      </c>
      <c r="AF70" t="s">
        <v>85</v>
      </c>
      <c r="AG70">
        <v>63</v>
      </c>
      <c r="AH70">
        <v>5</v>
      </c>
      <c r="AI70">
        <v>5</v>
      </c>
      <c r="AJ70">
        <v>0</v>
      </c>
      <c r="AK70">
        <v>0</v>
      </c>
      <c r="AL70" t="s">
        <v>1770</v>
      </c>
      <c r="AM70" t="s">
        <v>609</v>
      </c>
      <c r="AN70" t="s">
        <v>1771</v>
      </c>
      <c r="AO70" t="s">
        <v>85</v>
      </c>
      <c r="AP70" t="s">
        <v>1772</v>
      </c>
      <c r="AQ70" t="s">
        <v>85</v>
      </c>
      <c r="AR70" t="s">
        <v>1773</v>
      </c>
      <c r="AS70" t="s">
        <v>1774</v>
      </c>
      <c r="AT70" t="s">
        <v>1775</v>
      </c>
      <c r="AU70" s="6">
        <v>2021</v>
      </c>
      <c r="AV70">
        <v>1</v>
      </c>
      <c r="AW70">
        <v>1</v>
      </c>
      <c r="AX70" t="s">
        <v>85</v>
      </c>
      <c r="AY70" t="s">
        <v>85</v>
      </c>
      <c r="AZ70" t="s">
        <v>85</v>
      </c>
      <c r="BA70" t="s">
        <v>85</v>
      </c>
      <c r="BB70" t="s">
        <v>85</v>
      </c>
      <c r="BC70" t="s">
        <v>85</v>
      </c>
      <c r="BD70">
        <v>41</v>
      </c>
      <c r="BE70" t="s">
        <v>1776</v>
      </c>
      <c r="BF70" t="str">
        <f>HYPERLINK("http://dx.doi.org/10.1038/s42949-021-00043-9","http://dx.doi.org/10.1038/s42949-021-00043-9")</f>
        <v>http://dx.doi.org/10.1038/s42949-021-00043-9</v>
      </c>
      <c r="BG70" t="s">
        <v>85</v>
      </c>
      <c r="BH70" t="s">
        <v>85</v>
      </c>
      <c r="BI70">
        <v>8</v>
      </c>
      <c r="BJ70" s="6" t="s">
        <v>1777</v>
      </c>
      <c r="BK70" t="s">
        <v>1778</v>
      </c>
      <c r="BL70" t="s">
        <v>1779</v>
      </c>
      <c r="BM70" t="s">
        <v>1780</v>
      </c>
      <c r="BN70" t="s">
        <v>85</v>
      </c>
      <c r="BO70" t="s">
        <v>236</v>
      </c>
      <c r="BP70" t="s">
        <v>85</v>
      </c>
      <c r="BQ70" t="s">
        <v>85</v>
      </c>
      <c r="BR70" t="s">
        <v>116</v>
      </c>
      <c r="BS70" t="s">
        <v>1781</v>
      </c>
      <c r="BT70" t="str">
        <f>HYPERLINK("https%3A%2F%2Fwww.webofscience.com%2Fwos%2Fwoscc%2Ffull-record%2FWOS:001001109500001","View Full Record in Web of Science")</f>
        <v>View Full Record in Web of Science</v>
      </c>
      <c r="BW70" s="11" t="s">
        <v>491</v>
      </c>
      <c r="BX70" s="7" t="s">
        <v>1782</v>
      </c>
      <c r="CA70" s="7" t="s">
        <v>1123</v>
      </c>
      <c r="CB70" s="7" t="s">
        <v>122</v>
      </c>
      <c r="CC70" s="7" t="s">
        <v>495</v>
      </c>
      <c r="CD70" s="7" t="s">
        <v>1144</v>
      </c>
      <c r="CF70" s="7" t="s">
        <v>1783</v>
      </c>
    </row>
    <row r="71" spans="1:84" ht="90">
      <c r="A71" t="s">
        <v>83</v>
      </c>
      <c r="B71" t="s">
        <v>1784</v>
      </c>
      <c r="C71" t="s">
        <v>85</v>
      </c>
      <c r="D71" t="s">
        <v>85</v>
      </c>
      <c r="E71" t="s">
        <v>85</v>
      </c>
      <c r="F71" t="s">
        <v>1785</v>
      </c>
      <c r="G71" t="s">
        <v>85</v>
      </c>
      <c r="H71" t="s">
        <v>85</v>
      </c>
      <c r="I71" s="5" t="s">
        <v>1786</v>
      </c>
      <c r="J71" t="s">
        <v>1561</v>
      </c>
      <c r="K71" t="s">
        <v>85</v>
      </c>
      <c r="L71" t="s">
        <v>85</v>
      </c>
      <c r="M71" t="s">
        <v>89</v>
      </c>
      <c r="N71" t="s">
        <v>90</v>
      </c>
      <c r="O71" t="s">
        <v>85</v>
      </c>
      <c r="P71" t="s">
        <v>85</v>
      </c>
      <c r="Q71" t="s">
        <v>85</v>
      </c>
      <c r="R71" t="s">
        <v>85</v>
      </c>
      <c r="S71" t="s">
        <v>85</v>
      </c>
      <c r="T71" t="s">
        <v>1787</v>
      </c>
      <c r="U71" t="s">
        <v>1788</v>
      </c>
      <c r="V71" s="5" t="s">
        <v>1789</v>
      </c>
      <c r="W71" t="s">
        <v>1790</v>
      </c>
      <c r="X71" t="s">
        <v>1791</v>
      </c>
      <c r="Y71" t="s">
        <v>1792</v>
      </c>
      <c r="Z71" t="s">
        <v>1793</v>
      </c>
      <c r="AA71" t="s">
        <v>882</v>
      </c>
      <c r="AB71" t="s">
        <v>1794</v>
      </c>
      <c r="AC71" t="s">
        <v>85</v>
      </c>
      <c r="AD71" t="s">
        <v>85</v>
      </c>
      <c r="AE71" t="s">
        <v>85</v>
      </c>
      <c r="AF71" t="s">
        <v>85</v>
      </c>
      <c r="AG71">
        <v>75</v>
      </c>
      <c r="AH71">
        <v>5</v>
      </c>
      <c r="AI71">
        <v>5</v>
      </c>
      <c r="AJ71">
        <v>4</v>
      </c>
      <c r="AK71">
        <v>33</v>
      </c>
      <c r="AL71" t="s">
        <v>680</v>
      </c>
      <c r="AM71" t="s">
        <v>102</v>
      </c>
      <c r="AN71" t="s">
        <v>681</v>
      </c>
      <c r="AO71" t="s">
        <v>1571</v>
      </c>
      <c r="AP71" t="s">
        <v>1572</v>
      </c>
      <c r="AQ71" t="s">
        <v>85</v>
      </c>
      <c r="AR71" t="s">
        <v>1573</v>
      </c>
      <c r="AS71" t="s">
        <v>1574</v>
      </c>
      <c r="AT71" t="s">
        <v>544</v>
      </c>
      <c r="AU71" s="6">
        <v>2022</v>
      </c>
      <c r="AV71">
        <v>73</v>
      </c>
      <c r="AW71" t="s">
        <v>85</v>
      </c>
      <c r="AX71" t="s">
        <v>85</v>
      </c>
      <c r="AY71" t="s">
        <v>85</v>
      </c>
      <c r="AZ71" t="s">
        <v>85</v>
      </c>
      <c r="BA71" t="s">
        <v>85</v>
      </c>
      <c r="BB71" t="s">
        <v>85</v>
      </c>
      <c r="BC71" t="s">
        <v>85</v>
      </c>
      <c r="BD71">
        <v>102735</v>
      </c>
      <c r="BE71" t="s">
        <v>1795</v>
      </c>
      <c r="BF71" t="str">
        <f>HYPERLINK("http://dx.doi.org/10.1016/j.healthplace.2021.102735","http://dx.doi.org/10.1016/j.healthplace.2021.102735")</f>
        <v>http://dx.doi.org/10.1016/j.healthplace.2021.102735</v>
      </c>
      <c r="BG71" t="s">
        <v>85</v>
      </c>
      <c r="BH71" t="s">
        <v>1723</v>
      </c>
      <c r="BI71">
        <v>13</v>
      </c>
      <c r="BJ71" s="6" t="s">
        <v>616</v>
      </c>
      <c r="BK71" t="s">
        <v>171</v>
      </c>
      <c r="BL71" t="s">
        <v>616</v>
      </c>
      <c r="BM71" t="s">
        <v>1796</v>
      </c>
      <c r="BN71">
        <v>34933144</v>
      </c>
      <c r="BO71" t="s">
        <v>1797</v>
      </c>
      <c r="BP71" t="s">
        <v>85</v>
      </c>
      <c r="BQ71" t="s">
        <v>85</v>
      </c>
      <c r="BR71" t="s">
        <v>116</v>
      </c>
      <c r="BS71" t="s">
        <v>1798</v>
      </c>
      <c r="BT71" t="str">
        <f>HYPERLINK("https%3A%2F%2Fwww.webofscience.com%2Fwos%2Fwoscc%2Ffull-record%2FWOS:000735296600010","View Full Record in Web of Science")</f>
        <v>View Full Record in Web of Science</v>
      </c>
      <c r="BW71" s="11" t="s">
        <v>491</v>
      </c>
      <c r="BX71" s="7" t="s">
        <v>1799</v>
      </c>
      <c r="CA71" s="7" t="s">
        <v>1800</v>
      </c>
      <c r="CB71" s="7" t="s">
        <v>1801</v>
      </c>
      <c r="CC71" s="7" t="s">
        <v>1802</v>
      </c>
      <c r="CD71" s="7" t="s">
        <v>1019</v>
      </c>
      <c r="CE71" s="12" t="s">
        <v>408</v>
      </c>
      <c r="CF71" s="7" t="s">
        <v>1425</v>
      </c>
    </row>
    <row r="72" spans="1:84" ht="180">
      <c r="A72" t="s">
        <v>83</v>
      </c>
      <c r="B72" t="s">
        <v>1803</v>
      </c>
      <c r="C72" t="s">
        <v>85</v>
      </c>
      <c r="D72" t="s">
        <v>85</v>
      </c>
      <c r="E72" t="s">
        <v>85</v>
      </c>
      <c r="F72" t="s">
        <v>1804</v>
      </c>
      <c r="G72" t="s">
        <v>85</v>
      </c>
      <c r="H72" t="s">
        <v>85</v>
      </c>
      <c r="I72" s="5" t="s">
        <v>1805</v>
      </c>
      <c r="J72" t="s">
        <v>1490</v>
      </c>
      <c r="K72" t="s">
        <v>85</v>
      </c>
      <c r="L72" t="s">
        <v>85</v>
      </c>
      <c r="M72" t="s">
        <v>89</v>
      </c>
      <c r="N72" t="s">
        <v>90</v>
      </c>
      <c r="O72" t="s">
        <v>85</v>
      </c>
      <c r="P72" t="s">
        <v>85</v>
      </c>
      <c r="Q72" t="s">
        <v>85</v>
      </c>
      <c r="R72" t="s">
        <v>85</v>
      </c>
      <c r="S72" t="s">
        <v>85</v>
      </c>
      <c r="T72" t="s">
        <v>1806</v>
      </c>
      <c r="U72" t="s">
        <v>1807</v>
      </c>
      <c r="V72" s="5" t="s">
        <v>1808</v>
      </c>
      <c r="W72" t="s">
        <v>1809</v>
      </c>
      <c r="X72" t="s">
        <v>1810</v>
      </c>
      <c r="Y72" t="s">
        <v>1811</v>
      </c>
      <c r="Z72" t="s">
        <v>1812</v>
      </c>
      <c r="AA72" t="s">
        <v>85</v>
      </c>
      <c r="AB72" t="s">
        <v>1813</v>
      </c>
      <c r="AC72" t="s">
        <v>85</v>
      </c>
      <c r="AD72" t="s">
        <v>85</v>
      </c>
      <c r="AE72" t="s">
        <v>85</v>
      </c>
      <c r="AF72" t="s">
        <v>85</v>
      </c>
      <c r="AG72">
        <v>80</v>
      </c>
      <c r="AH72">
        <v>10</v>
      </c>
      <c r="AI72">
        <v>11</v>
      </c>
      <c r="AJ72">
        <v>15</v>
      </c>
      <c r="AK72">
        <v>68</v>
      </c>
      <c r="AL72" t="s">
        <v>1503</v>
      </c>
      <c r="AM72" t="s">
        <v>1504</v>
      </c>
      <c r="AN72" t="s">
        <v>1505</v>
      </c>
      <c r="AO72" t="s">
        <v>1506</v>
      </c>
      <c r="AP72" t="s">
        <v>1507</v>
      </c>
      <c r="AQ72" t="s">
        <v>85</v>
      </c>
      <c r="AR72" t="s">
        <v>1508</v>
      </c>
      <c r="AS72" t="s">
        <v>1509</v>
      </c>
      <c r="AT72" t="s">
        <v>714</v>
      </c>
      <c r="AU72" s="6">
        <v>2022</v>
      </c>
      <c r="AV72">
        <v>204</v>
      </c>
      <c r="AW72" t="s">
        <v>85</v>
      </c>
      <c r="AX72" t="s">
        <v>1814</v>
      </c>
      <c r="AY72" t="s">
        <v>85</v>
      </c>
      <c r="AZ72" t="s">
        <v>85</v>
      </c>
      <c r="BA72" t="s">
        <v>85</v>
      </c>
      <c r="BB72" t="s">
        <v>85</v>
      </c>
      <c r="BC72" t="s">
        <v>85</v>
      </c>
      <c r="BD72">
        <v>112292</v>
      </c>
      <c r="BE72" t="s">
        <v>1815</v>
      </c>
      <c r="BF72" t="str">
        <f>HYPERLINK("http://dx.doi.org/10.1016/j.envres.2021.112292","http://dx.doi.org/10.1016/j.envres.2021.112292")</f>
        <v>http://dx.doi.org/10.1016/j.envres.2021.112292</v>
      </c>
      <c r="BG72" t="s">
        <v>85</v>
      </c>
      <c r="BH72" t="s">
        <v>1723</v>
      </c>
      <c r="BI72">
        <v>11</v>
      </c>
      <c r="BJ72" s="6" t="s">
        <v>889</v>
      </c>
      <c r="BK72" t="s">
        <v>171</v>
      </c>
      <c r="BL72" t="s">
        <v>890</v>
      </c>
      <c r="BM72" t="s">
        <v>1816</v>
      </c>
      <c r="BN72">
        <v>34728238</v>
      </c>
      <c r="BO72" t="s">
        <v>85</v>
      </c>
      <c r="BP72" t="s">
        <v>85</v>
      </c>
      <c r="BQ72" t="s">
        <v>85</v>
      </c>
      <c r="BR72" t="s">
        <v>116</v>
      </c>
      <c r="BS72" t="s">
        <v>1817</v>
      </c>
      <c r="BT72" t="str">
        <f>HYPERLINK("https%3A%2F%2Fwww.webofscience.com%2Fwos%2Fwoscc%2Ffull-record%2FWOS:000730784100009","View Full Record in Web of Science")</f>
        <v>View Full Record in Web of Science</v>
      </c>
      <c r="BW72" s="6" t="s">
        <v>491</v>
      </c>
      <c r="BX72" s="10" t="s">
        <v>1818</v>
      </c>
      <c r="BY72" s="10" t="s">
        <v>289</v>
      </c>
      <c r="CA72" s="10" t="s">
        <v>1819</v>
      </c>
      <c r="CB72" s="10" t="s">
        <v>1801</v>
      </c>
      <c r="CC72" s="7" t="s">
        <v>1802</v>
      </c>
      <c r="CD72" s="7" t="s">
        <v>1019</v>
      </c>
      <c r="CE72" s="7" t="s">
        <v>1068</v>
      </c>
      <c r="CF72" s="7" t="s">
        <v>1820</v>
      </c>
    </row>
    <row r="73" spans="1:84" ht="150">
      <c r="A73" t="s">
        <v>83</v>
      </c>
      <c r="B73" t="s">
        <v>1821</v>
      </c>
      <c r="C73" t="s">
        <v>85</v>
      </c>
      <c r="D73" t="s">
        <v>85</v>
      </c>
      <c r="E73" t="s">
        <v>85</v>
      </c>
      <c r="F73" t="s">
        <v>1822</v>
      </c>
      <c r="G73" t="s">
        <v>85</v>
      </c>
      <c r="H73" t="s">
        <v>85</v>
      </c>
      <c r="I73" s="5" t="s">
        <v>1823</v>
      </c>
      <c r="J73" t="s">
        <v>579</v>
      </c>
      <c r="K73" t="s">
        <v>85</v>
      </c>
      <c r="L73" t="s">
        <v>85</v>
      </c>
      <c r="M73" t="s">
        <v>89</v>
      </c>
      <c r="N73" t="s">
        <v>90</v>
      </c>
      <c r="O73" t="s">
        <v>85</v>
      </c>
      <c r="P73" t="s">
        <v>85</v>
      </c>
      <c r="Q73" t="s">
        <v>85</v>
      </c>
      <c r="R73" t="s">
        <v>85</v>
      </c>
      <c r="S73" t="s">
        <v>85</v>
      </c>
      <c r="T73" t="s">
        <v>1824</v>
      </c>
      <c r="U73" t="s">
        <v>1825</v>
      </c>
      <c r="V73" s="5" t="s">
        <v>1826</v>
      </c>
      <c r="W73" t="s">
        <v>1827</v>
      </c>
      <c r="X73" t="s">
        <v>1828</v>
      </c>
      <c r="Y73" t="s">
        <v>1829</v>
      </c>
      <c r="Z73" t="s">
        <v>1830</v>
      </c>
      <c r="AA73" t="s">
        <v>85</v>
      </c>
      <c r="AB73" t="s">
        <v>1831</v>
      </c>
      <c r="AC73" t="s">
        <v>85</v>
      </c>
      <c r="AD73" t="s">
        <v>85</v>
      </c>
      <c r="AE73" t="s">
        <v>85</v>
      </c>
      <c r="AF73" t="s">
        <v>85</v>
      </c>
      <c r="AG73">
        <v>51</v>
      </c>
      <c r="AH73">
        <v>17</v>
      </c>
      <c r="AI73">
        <v>17</v>
      </c>
      <c r="AJ73">
        <v>19</v>
      </c>
      <c r="AK73">
        <v>68</v>
      </c>
      <c r="AL73" t="s">
        <v>137</v>
      </c>
      <c r="AM73" t="s">
        <v>138</v>
      </c>
      <c r="AN73" t="s">
        <v>139</v>
      </c>
      <c r="AO73" t="s">
        <v>85</v>
      </c>
      <c r="AP73" t="s">
        <v>587</v>
      </c>
      <c r="AQ73" t="s">
        <v>85</v>
      </c>
      <c r="AR73" t="s">
        <v>579</v>
      </c>
      <c r="AS73" t="s">
        <v>588</v>
      </c>
      <c r="AT73" t="s">
        <v>761</v>
      </c>
      <c r="AU73" s="6">
        <v>2021</v>
      </c>
      <c r="AV73">
        <v>12</v>
      </c>
      <c r="AW73">
        <v>12</v>
      </c>
      <c r="AX73" t="s">
        <v>85</v>
      </c>
      <c r="AY73" t="s">
        <v>85</v>
      </c>
      <c r="AZ73" t="s">
        <v>85</v>
      </c>
      <c r="BA73" t="s">
        <v>85</v>
      </c>
      <c r="BB73" t="s">
        <v>85</v>
      </c>
      <c r="BC73" t="s">
        <v>85</v>
      </c>
      <c r="BD73">
        <v>1691</v>
      </c>
      <c r="BE73" t="s">
        <v>1832</v>
      </c>
      <c r="BF73" t="str">
        <f>HYPERLINK("http://dx.doi.org/10.3390/f12121691","http://dx.doi.org/10.3390/f12121691")</f>
        <v>http://dx.doi.org/10.3390/f12121691</v>
      </c>
      <c r="BG73" t="s">
        <v>85</v>
      </c>
      <c r="BH73" t="s">
        <v>85</v>
      </c>
      <c r="BI73">
        <v>17</v>
      </c>
      <c r="BJ73" s="6" t="s">
        <v>590</v>
      </c>
      <c r="BK73" t="s">
        <v>171</v>
      </c>
      <c r="BL73" t="s">
        <v>590</v>
      </c>
      <c r="BM73" t="s">
        <v>1833</v>
      </c>
      <c r="BN73" t="s">
        <v>85</v>
      </c>
      <c r="BO73" t="s">
        <v>115</v>
      </c>
      <c r="BP73" t="s">
        <v>85</v>
      </c>
      <c r="BQ73" t="s">
        <v>85</v>
      </c>
      <c r="BR73" t="s">
        <v>116</v>
      </c>
      <c r="BS73" t="s">
        <v>1834</v>
      </c>
      <c r="BT73" t="str">
        <f>HYPERLINK("https%3A%2F%2Fwww.webofscience.com%2Fwos%2Fwoscc%2Ffull-record%2FWOS:000737548900001","View Full Record in Web of Science")</f>
        <v>View Full Record in Web of Science</v>
      </c>
      <c r="BW73" s="6" t="s">
        <v>365</v>
      </c>
      <c r="BX73" s="10" t="s">
        <v>1835</v>
      </c>
      <c r="CA73" s="10" t="s">
        <v>1836</v>
      </c>
      <c r="CB73" s="10" t="s">
        <v>1801</v>
      </c>
      <c r="CC73" s="7" t="s">
        <v>1802</v>
      </c>
      <c r="CD73" s="7" t="s">
        <v>1019</v>
      </c>
      <c r="CE73" s="7" t="s">
        <v>1068</v>
      </c>
      <c r="CF73" s="7" t="s">
        <v>154</v>
      </c>
    </row>
    <row r="74" spans="1:84" ht="240">
      <c r="A74" t="s">
        <v>83</v>
      </c>
      <c r="B74" t="s">
        <v>1837</v>
      </c>
      <c r="C74" t="s">
        <v>85</v>
      </c>
      <c r="D74" t="s">
        <v>85</v>
      </c>
      <c r="E74" t="s">
        <v>85</v>
      </c>
      <c r="F74" t="s">
        <v>1838</v>
      </c>
      <c r="G74" t="s">
        <v>85</v>
      </c>
      <c r="H74" t="s">
        <v>85</v>
      </c>
      <c r="I74" s="5" t="s">
        <v>1839</v>
      </c>
      <c r="J74" t="s">
        <v>1840</v>
      </c>
      <c r="K74" t="s">
        <v>85</v>
      </c>
      <c r="L74" t="s">
        <v>85</v>
      </c>
      <c r="M74" t="s">
        <v>89</v>
      </c>
      <c r="N74" t="s">
        <v>90</v>
      </c>
      <c r="O74" t="s">
        <v>85</v>
      </c>
      <c r="P74" t="s">
        <v>85</v>
      </c>
      <c r="Q74" t="s">
        <v>85</v>
      </c>
      <c r="R74" t="s">
        <v>85</v>
      </c>
      <c r="S74" t="s">
        <v>85</v>
      </c>
      <c r="T74" t="s">
        <v>1841</v>
      </c>
      <c r="U74" t="s">
        <v>1842</v>
      </c>
      <c r="V74" s="5" t="s">
        <v>1843</v>
      </c>
      <c r="W74" t="s">
        <v>1844</v>
      </c>
      <c r="X74" t="s">
        <v>1845</v>
      </c>
      <c r="Y74" t="s">
        <v>1846</v>
      </c>
      <c r="Z74" t="s">
        <v>85</v>
      </c>
      <c r="AA74" t="s">
        <v>85</v>
      </c>
      <c r="AB74" t="s">
        <v>85</v>
      </c>
      <c r="AC74" t="s">
        <v>1847</v>
      </c>
      <c r="AD74" t="s">
        <v>1848</v>
      </c>
      <c r="AE74" t="s">
        <v>1849</v>
      </c>
      <c r="AF74" t="s">
        <v>85</v>
      </c>
      <c r="AG74">
        <v>86</v>
      </c>
      <c r="AH74">
        <v>6</v>
      </c>
      <c r="AI74">
        <v>6</v>
      </c>
      <c r="AJ74">
        <v>17</v>
      </c>
      <c r="AK74">
        <v>46</v>
      </c>
      <c r="AL74" t="s">
        <v>1850</v>
      </c>
      <c r="AM74" t="s">
        <v>1851</v>
      </c>
      <c r="AN74" t="s">
        <v>1852</v>
      </c>
      <c r="AO74" t="s">
        <v>1853</v>
      </c>
      <c r="AP74" t="s">
        <v>85</v>
      </c>
      <c r="AQ74" t="s">
        <v>85</v>
      </c>
      <c r="AR74" t="s">
        <v>1854</v>
      </c>
      <c r="AS74" t="s">
        <v>1855</v>
      </c>
      <c r="AT74" t="s">
        <v>761</v>
      </c>
      <c r="AU74" s="6">
        <v>2021</v>
      </c>
      <c r="AV74">
        <v>26</v>
      </c>
      <c r="AW74">
        <v>4</v>
      </c>
      <c r="AX74" t="s">
        <v>85</v>
      </c>
      <c r="AY74" t="s">
        <v>85</v>
      </c>
      <c r="AZ74" t="s">
        <v>85</v>
      </c>
      <c r="BA74" t="s">
        <v>85</v>
      </c>
      <c r="BB74" t="s">
        <v>85</v>
      </c>
      <c r="BC74" t="s">
        <v>85</v>
      </c>
      <c r="BD74">
        <v>260435</v>
      </c>
      <c r="BE74" t="s">
        <v>1856</v>
      </c>
      <c r="BF74" t="str">
        <f>HYPERLINK("http://dx.doi.org/10.5751/ES-12838-260435","http://dx.doi.org/10.5751/ES-12838-260435")</f>
        <v>http://dx.doi.org/10.5751/ES-12838-260435</v>
      </c>
      <c r="BG74" t="s">
        <v>85</v>
      </c>
      <c r="BH74" t="s">
        <v>85</v>
      </c>
      <c r="BI74">
        <v>11</v>
      </c>
      <c r="BJ74" s="6" t="s">
        <v>1857</v>
      </c>
      <c r="BK74" t="s">
        <v>171</v>
      </c>
      <c r="BL74" t="s">
        <v>113</v>
      </c>
      <c r="BM74" t="s">
        <v>1858</v>
      </c>
      <c r="BN74" t="s">
        <v>85</v>
      </c>
      <c r="BO74" t="s">
        <v>115</v>
      </c>
      <c r="BP74" t="s">
        <v>85</v>
      </c>
      <c r="BQ74" t="s">
        <v>85</v>
      </c>
      <c r="BR74" t="s">
        <v>116</v>
      </c>
      <c r="BS74" t="s">
        <v>1859</v>
      </c>
      <c r="BT74" t="str">
        <f>HYPERLINK("https%3A%2F%2Fwww.webofscience.com%2Fwos%2Fwoscc%2Ffull-record%2FWOS:000730831300008","View Full Record in Web of Science")</f>
        <v>View Full Record in Web of Science</v>
      </c>
      <c r="BW74" s="6" t="s">
        <v>491</v>
      </c>
      <c r="BX74" s="10" t="s">
        <v>1860</v>
      </c>
      <c r="CA74" s="10" t="s">
        <v>1123</v>
      </c>
      <c r="CB74" s="10" t="s">
        <v>122</v>
      </c>
      <c r="CC74" s="7" t="s">
        <v>1861</v>
      </c>
      <c r="CD74" s="7" t="s">
        <v>1144</v>
      </c>
      <c r="CF74" s="7" t="s">
        <v>1754</v>
      </c>
    </row>
    <row r="75" spans="1:84" ht="210">
      <c r="A75" t="s">
        <v>83</v>
      </c>
      <c r="B75" t="s">
        <v>1862</v>
      </c>
      <c r="C75" t="s">
        <v>85</v>
      </c>
      <c r="D75" t="s">
        <v>85</v>
      </c>
      <c r="E75" t="s">
        <v>85</v>
      </c>
      <c r="F75" t="s">
        <v>1863</v>
      </c>
      <c r="G75" t="s">
        <v>85</v>
      </c>
      <c r="H75" t="s">
        <v>85</v>
      </c>
      <c r="I75" s="5" t="s">
        <v>1864</v>
      </c>
      <c r="J75" t="s">
        <v>312</v>
      </c>
      <c r="K75" t="s">
        <v>85</v>
      </c>
      <c r="L75" t="s">
        <v>85</v>
      </c>
      <c r="M75" t="s">
        <v>89</v>
      </c>
      <c r="N75" t="s">
        <v>90</v>
      </c>
      <c r="O75" t="s">
        <v>85</v>
      </c>
      <c r="P75" t="s">
        <v>85</v>
      </c>
      <c r="Q75" t="s">
        <v>85</v>
      </c>
      <c r="R75" t="s">
        <v>85</v>
      </c>
      <c r="S75" t="s">
        <v>85</v>
      </c>
      <c r="T75" t="s">
        <v>1865</v>
      </c>
      <c r="U75" t="s">
        <v>1866</v>
      </c>
      <c r="V75" s="5" t="s">
        <v>1867</v>
      </c>
      <c r="W75" t="s">
        <v>1868</v>
      </c>
      <c r="X75" t="s">
        <v>1869</v>
      </c>
      <c r="Y75" t="s">
        <v>1870</v>
      </c>
      <c r="Z75" t="s">
        <v>1871</v>
      </c>
      <c r="AA75" t="s">
        <v>1872</v>
      </c>
      <c r="AB75" t="s">
        <v>1873</v>
      </c>
      <c r="AC75" t="s">
        <v>1874</v>
      </c>
      <c r="AD75" t="s">
        <v>1875</v>
      </c>
      <c r="AE75" t="s">
        <v>1876</v>
      </c>
      <c r="AF75" t="s">
        <v>85</v>
      </c>
      <c r="AG75">
        <v>81</v>
      </c>
      <c r="AH75">
        <v>33</v>
      </c>
      <c r="AI75">
        <v>33</v>
      </c>
      <c r="AJ75">
        <v>21</v>
      </c>
      <c r="AK75">
        <v>109</v>
      </c>
      <c r="AL75" t="s">
        <v>193</v>
      </c>
      <c r="AM75" t="s">
        <v>194</v>
      </c>
      <c r="AN75" t="s">
        <v>195</v>
      </c>
      <c r="AO75" t="s">
        <v>325</v>
      </c>
      <c r="AP75" t="s">
        <v>326</v>
      </c>
      <c r="AQ75" t="s">
        <v>85</v>
      </c>
      <c r="AR75" t="s">
        <v>327</v>
      </c>
      <c r="AS75" t="s">
        <v>328</v>
      </c>
      <c r="AT75" t="s">
        <v>887</v>
      </c>
      <c r="AU75" s="6">
        <v>2021</v>
      </c>
      <c r="AV75">
        <v>215</v>
      </c>
      <c r="AW75" t="s">
        <v>85</v>
      </c>
      <c r="AX75" t="s">
        <v>85</v>
      </c>
      <c r="AY75" t="s">
        <v>85</v>
      </c>
      <c r="AZ75" t="s">
        <v>85</v>
      </c>
      <c r="BA75" t="s">
        <v>85</v>
      </c>
      <c r="BB75" t="s">
        <v>85</v>
      </c>
      <c r="BC75" t="s">
        <v>85</v>
      </c>
      <c r="BD75">
        <v>104230</v>
      </c>
      <c r="BE75" t="s">
        <v>1877</v>
      </c>
      <c r="BF75" t="str">
        <f>HYPERLINK("http://dx.doi.org/10.1016/j.landurbplan.2021.104230","http://dx.doi.org/10.1016/j.landurbplan.2021.104230")</f>
        <v>http://dx.doi.org/10.1016/j.landurbplan.2021.104230</v>
      </c>
      <c r="BG75" t="s">
        <v>85</v>
      </c>
      <c r="BH75" t="s">
        <v>85</v>
      </c>
      <c r="BI75">
        <v>10</v>
      </c>
      <c r="BJ75" s="6" t="s">
        <v>331</v>
      </c>
      <c r="BK75" t="s">
        <v>171</v>
      </c>
      <c r="BL75" t="s">
        <v>332</v>
      </c>
      <c r="BM75" t="s">
        <v>1878</v>
      </c>
      <c r="BN75" t="s">
        <v>85</v>
      </c>
      <c r="BO75" t="s">
        <v>1797</v>
      </c>
      <c r="BP75" t="s">
        <v>85</v>
      </c>
      <c r="BQ75" t="s">
        <v>85</v>
      </c>
      <c r="BR75" t="s">
        <v>116</v>
      </c>
      <c r="BS75" t="s">
        <v>1879</v>
      </c>
      <c r="BT75" t="str">
        <f>HYPERLINK("https%3A%2F%2Fwww.webofscience.com%2Fwos%2Fwoscc%2Ffull-record%2FWOS:000696646500003","View Full Record in Web of Science")</f>
        <v>View Full Record in Web of Science</v>
      </c>
      <c r="BW75" s="6" t="s">
        <v>365</v>
      </c>
      <c r="BX75" s="10" t="s">
        <v>1880</v>
      </c>
      <c r="BY75" s="10" t="s">
        <v>289</v>
      </c>
      <c r="CA75" s="10" t="s">
        <v>1881</v>
      </c>
      <c r="CB75" s="10" t="s">
        <v>122</v>
      </c>
      <c r="CC75" s="7" t="s">
        <v>123</v>
      </c>
      <c r="CD75" s="7" t="s">
        <v>1019</v>
      </c>
      <c r="CE75" s="7" t="s">
        <v>1068</v>
      </c>
      <c r="CF75" s="7" t="s">
        <v>154</v>
      </c>
    </row>
    <row r="76" spans="1:84" ht="150">
      <c r="A76" t="s">
        <v>83</v>
      </c>
      <c r="B76" t="s">
        <v>1882</v>
      </c>
      <c r="C76" t="s">
        <v>85</v>
      </c>
      <c r="D76" t="s">
        <v>85</v>
      </c>
      <c r="E76" t="s">
        <v>85</v>
      </c>
      <c r="F76" t="s">
        <v>1883</v>
      </c>
      <c r="G76" t="s">
        <v>85</v>
      </c>
      <c r="H76" t="s">
        <v>85</v>
      </c>
      <c r="I76" s="5" t="s">
        <v>1884</v>
      </c>
      <c r="J76" t="s">
        <v>1885</v>
      </c>
      <c r="K76" t="s">
        <v>85</v>
      </c>
      <c r="L76" t="s">
        <v>85</v>
      </c>
      <c r="M76" t="s">
        <v>89</v>
      </c>
      <c r="N76" t="s">
        <v>90</v>
      </c>
      <c r="O76" t="s">
        <v>85</v>
      </c>
      <c r="P76" t="s">
        <v>85</v>
      </c>
      <c r="Q76" t="s">
        <v>85</v>
      </c>
      <c r="R76" t="s">
        <v>85</v>
      </c>
      <c r="S76" t="s">
        <v>85</v>
      </c>
      <c r="T76" t="s">
        <v>1886</v>
      </c>
      <c r="U76" t="s">
        <v>1887</v>
      </c>
      <c r="V76" s="5" t="s">
        <v>1888</v>
      </c>
      <c r="W76" t="s">
        <v>1889</v>
      </c>
      <c r="X76" t="s">
        <v>1890</v>
      </c>
      <c r="Y76" t="s">
        <v>1891</v>
      </c>
      <c r="Z76" t="s">
        <v>1892</v>
      </c>
      <c r="AA76" t="s">
        <v>85</v>
      </c>
      <c r="AB76" t="s">
        <v>1893</v>
      </c>
      <c r="AC76" t="s">
        <v>85</v>
      </c>
      <c r="AD76" t="s">
        <v>85</v>
      </c>
      <c r="AE76" t="s">
        <v>85</v>
      </c>
      <c r="AF76" t="s">
        <v>85</v>
      </c>
      <c r="AG76">
        <v>92</v>
      </c>
      <c r="AH76">
        <v>0</v>
      </c>
      <c r="AI76">
        <v>0</v>
      </c>
      <c r="AJ76">
        <v>6</v>
      </c>
      <c r="AK76">
        <v>22</v>
      </c>
      <c r="AL76" t="s">
        <v>478</v>
      </c>
      <c r="AM76" t="s">
        <v>479</v>
      </c>
      <c r="AN76" t="s">
        <v>480</v>
      </c>
      <c r="AO76" t="s">
        <v>1894</v>
      </c>
      <c r="AP76" t="s">
        <v>1895</v>
      </c>
      <c r="AQ76" t="s">
        <v>85</v>
      </c>
      <c r="AR76" t="s">
        <v>1885</v>
      </c>
      <c r="AS76" t="s">
        <v>1896</v>
      </c>
      <c r="AT76" t="s">
        <v>761</v>
      </c>
      <c r="AU76" s="6">
        <v>2022</v>
      </c>
      <c r="AV76">
        <v>87</v>
      </c>
      <c r="AW76">
        <v>6</v>
      </c>
      <c r="AX76" t="s">
        <v>85</v>
      </c>
      <c r="AY76" t="s">
        <v>85</v>
      </c>
      <c r="AZ76" t="s">
        <v>85</v>
      </c>
      <c r="BA76" t="s">
        <v>85</v>
      </c>
      <c r="BB76">
        <v>4671</v>
      </c>
      <c r="BC76">
        <v>4688</v>
      </c>
      <c r="BD76" t="s">
        <v>85</v>
      </c>
      <c r="BE76" t="s">
        <v>1897</v>
      </c>
      <c r="BF76" t="str">
        <f>HYPERLINK("http://dx.doi.org/10.1007/s10708-021-10524-0","http://dx.doi.org/10.1007/s10708-021-10524-0")</f>
        <v>http://dx.doi.org/10.1007/s10708-021-10524-0</v>
      </c>
      <c r="BG76" t="s">
        <v>85</v>
      </c>
      <c r="BH76" t="s">
        <v>1898</v>
      </c>
      <c r="BI76">
        <v>18</v>
      </c>
      <c r="BJ76" s="6" t="s">
        <v>1338</v>
      </c>
      <c r="BK76" t="s">
        <v>1778</v>
      </c>
      <c r="BL76" t="s">
        <v>1338</v>
      </c>
      <c r="BM76" t="s">
        <v>1899</v>
      </c>
      <c r="BN76" t="s">
        <v>85</v>
      </c>
      <c r="BO76" t="s">
        <v>85</v>
      </c>
      <c r="BP76" t="s">
        <v>85</v>
      </c>
      <c r="BQ76" t="s">
        <v>85</v>
      </c>
      <c r="BR76" t="s">
        <v>116</v>
      </c>
      <c r="BS76" t="s">
        <v>1900</v>
      </c>
      <c r="BT76" t="str">
        <f>HYPERLINK("https%3A%2F%2Fwww.webofscience.com%2Fwos%2Fwoscc%2Ffull-record%2FWOS:000706586400001","View Full Record in Web of Science")</f>
        <v>View Full Record in Web of Science</v>
      </c>
      <c r="BW76" s="6" t="s">
        <v>491</v>
      </c>
      <c r="BX76" s="10" t="s">
        <v>1901</v>
      </c>
      <c r="BY76" s="10" t="s">
        <v>289</v>
      </c>
      <c r="BZ76">
        <v>30</v>
      </c>
      <c r="CB76" s="10" t="s">
        <v>122</v>
      </c>
      <c r="CC76" s="7" t="s">
        <v>123</v>
      </c>
      <c r="CD76" s="7" t="s">
        <v>1144</v>
      </c>
      <c r="CE76" s="7" t="s">
        <v>1068</v>
      </c>
      <c r="CF76" s="7" t="s">
        <v>720</v>
      </c>
    </row>
    <row r="77" spans="1:84" ht="270">
      <c r="A77" t="s">
        <v>83</v>
      </c>
      <c r="B77" t="s">
        <v>1902</v>
      </c>
      <c r="C77" t="s">
        <v>85</v>
      </c>
      <c r="D77" t="s">
        <v>85</v>
      </c>
      <c r="E77" t="s">
        <v>85</v>
      </c>
      <c r="F77" t="s">
        <v>1903</v>
      </c>
      <c r="G77" t="s">
        <v>85</v>
      </c>
      <c r="H77" t="s">
        <v>85</v>
      </c>
      <c r="I77" s="5" t="s">
        <v>1904</v>
      </c>
      <c r="J77" t="s">
        <v>1561</v>
      </c>
      <c r="K77" t="s">
        <v>85</v>
      </c>
      <c r="L77" t="s">
        <v>85</v>
      </c>
      <c r="M77" t="s">
        <v>89</v>
      </c>
      <c r="N77" t="s">
        <v>90</v>
      </c>
      <c r="O77" t="s">
        <v>85</v>
      </c>
      <c r="P77" t="s">
        <v>85</v>
      </c>
      <c r="Q77" t="s">
        <v>85</v>
      </c>
      <c r="R77" t="s">
        <v>85</v>
      </c>
      <c r="S77" t="s">
        <v>85</v>
      </c>
      <c r="T77" t="s">
        <v>1905</v>
      </c>
      <c r="U77" t="s">
        <v>1906</v>
      </c>
      <c r="V77" s="5" t="s">
        <v>1907</v>
      </c>
      <c r="W77" t="s">
        <v>1908</v>
      </c>
      <c r="X77" t="s">
        <v>1909</v>
      </c>
      <c r="Y77" t="s">
        <v>1910</v>
      </c>
      <c r="Z77" t="s">
        <v>1911</v>
      </c>
      <c r="AA77" t="s">
        <v>1912</v>
      </c>
      <c r="AB77" t="s">
        <v>1913</v>
      </c>
      <c r="AC77" t="s">
        <v>1914</v>
      </c>
      <c r="AD77" t="s">
        <v>1915</v>
      </c>
      <c r="AE77" t="s">
        <v>1916</v>
      </c>
      <c r="AF77" t="s">
        <v>85</v>
      </c>
      <c r="AG77">
        <v>66</v>
      </c>
      <c r="AH77">
        <v>4</v>
      </c>
      <c r="AI77">
        <v>4</v>
      </c>
      <c r="AJ77">
        <v>8</v>
      </c>
      <c r="AK77">
        <v>36</v>
      </c>
      <c r="AL77" t="s">
        <v>680</v>
      </c>
      <c r="AM77" t="s">
        <v>102</v>
      </c>
      <c r="AN77" t="s">
        <v>681</v>
      </c>
      <c r="AO77" t="s">
        <v>1571</v>
      </c>
      <c r="AP77" t="s">
        <v>1572</v>
      </c>
      <c r="AQ77" t="s">
        <v>85</v>
      </c>
      <c r="AR77" t="s">
        <v>1573</v>
      </c>
      <c r="AS77" t="s">
        <v>1574</v>
      </c>
      <c r="AT77" t="s">
        <v>887</v>
      </c>
      <c r="AU77" s="6">
        <v>2021</v>
      </c>
      <c r="AV77">
        <v>72</v>
      </c>
      <c r="AW77" t="s">
        <v>85</v>
      </c>
      <c r="AX77" t="s">
        <v>85</v>
      </c>
      <c r="AY77" t="s">
        <v>85</v>
      </c>
      <c r="AZ77" t="s">
        <v>85</v>
      </c>
      <c r="BA77" t="s">
        <v>85</v>
      </c>
      <c r="BB77" t="s">
        <v>85</v>
      </c>
      <c r="BC77" t="s">
        <v>85</v>
      </c>
      <c r="BD77">
        <v>102678</v>
      </c>
      <c r="BE77" t="s">
        <v>1917</v>
      </c>
      <c r="BF77" t="str">
        <f>HYPERLINK("http://dx.doi.org/10.1016/j.healthplace.2021.102678","http://dx.doi.org/10.1016/j.healthplace.2021.102678")</f>
        <v>http://dx.doi.org/10.1016/j.healthplace.2021.102678</v>
      </c>
      <c r="BG77" t="s">
        <v>85</v>
      </c>
      <c r="BH77" t="s">
        <v>1898</v>
      </c>
      <c r="BI77">
        <v>12</v>
      </c>
      <c r="BJ77" s="6" t="s">
        <v>616</v>
      </c>
      <c r="BK77" t="s">
        <v>171</v>
      </c>
      <c r="BL77" t="s">
        <v>616</v>
      </c>
      <c r="BM77" t="s">
        <v>1918</v>
      </c>
      <c r="BN77">
        <v>34610547</v>
      </c>
      <c r="BO77" t="s">
        <v>85</v>
      </c>
      <c r="BP77" t="s">
        <v>85</v>
      </c>
      <c r="BQ77" t="s">
        <v>85</v>
      </c>
      <c r="BR77" t="s">
        <v>116</v>
      </c>
      <c r="BS77" t="s">
        <v>1919</v>
      </c>
      <c r="BT77" t="str">
        <f>HYPERLINK("https%3A%2F%2Fwww.webofscience.com%2Fwos%2Fwoscc%2Ffull-record%2FWOS:000703052800002","View Full Record in Web of Science")</f>
        <v>View Full Record in Web of Science</v>
      </c>
      <c r="BW77" s="6" t="s">
        <v>365</v>
      </c>
      <c r="BX77" s="10" t="s">
        <v>1920</v>
      </c>
      <c r="BY77" s="10" t="s">
        <v>289</v>
      </c>
      <c r="BZ77" t="s">
        <v>1921</v>
      </c>
      <c r="CA77" s="10" t="s">
        <v>1922</v>
      </c>
      <c r="CB77" s="10" t="s">
        <v>122</v>
      </c>
      <c r="CC77" s="7" t="s">
        <v>123</v>
      </c>
      <c r="CD77" s="7" t="s">
        <v>1923</v>
      </c>
      <c r="CE77" s="7" t="s">
        <v>1068</v>
      </c>
      <c r="CF77" s="7" t="s">
        <v>1924</v>
      </c>
    </row>
    <row r="78" spans="1:84" ht="210">
      <c r="A78" t="s">
        <v>83</v>
      </c>
      <c r="B78" t="s">
        <v>1925</v>
      </c>
      <c r="C78" t="s">
        <v>85</v>
      </c>
      <c r="D78" t="s">
        <v>85</v>
      </c>
      <c r="E78" t="s">
        <v>85</v>
      </c>
      <c r="F78" t="s">
        <v>1926</v>
      </c>
      <c r="G78" t="s">
        <v>85</v>
      </c>
      <c r="H78" t="s">
        <v>85</v>
      </c>
      <c r="I78" s="5" t="s">
        <v>1927</v>
      </c>
      <c r="J78" t="s">
        <v>312</v>
      </c>
      <c r="K78" t="s">
        <v>85</v>
      </c>
      <c r="L78" t="s">
        <v>85</v>
      </c>
      <c r="M78" t="s">
        <v>89</v>
      </c>
      <c r="N78" t="s">
        <v>90</v>
      </c>
      <c r="O78" t="s">
        <v>85</v>
      </c>
      <c r="P78" t="s">
        <v>85</v>
      </c>
      <c r="Q78" t="s">
        <v>85</v>
      </c>
      <c r="R78" t="s">
        <v>85</v>
      </c>
      <c r="S78" t="s">
        <v>85</v>
      </c>
      <c r="T78" t="s">
        <v>1928</v>
      </c>
      <c r="U78" t="s">
        <v>1929</v>
      </c>
      <c r="V78" s="5" t="s">
        <v>1930</v>
      </c>
      <c r="W78" t="s">
        <v>1931</v>
      </c>
      <c r="X78" t="s">
        <v>1932</v>
      </c>
      <c r="Y78" t="s">
        <v>1933</v>
      </c>
      <c r="Z78" t="s">
        <v>1416</v>
      </c>
      <c r="AA78" t="s">
        <v>1934</v>
      </c>
      <c r="AB78" t="s">
        <v>1935</v>
      </c>
      <c r="AC78" t="s">
        <v>1936</v>
      </c>
      <c r="AD78" t="s">
        <v>1936</v>
      </c>
      <c r="AE78" t="s">
        <v>1937</v>
      </c>
      <c r="AF78" t="s">
        <v>85</v>
      </c>
      <c r="AG78">
        <v>90</v>
      </c>
      <c r="AH78">
        <v>17</v>
      </c>
      <c r="AI78">
        <v>17</v>
      </c>
      <c r="AJ78">
        <v>12</v>
      </c>
      <c r="AK78">
        <v>78</v>
      </c>
      <c r="AL78" t="s">
        <v>193</v>
      </c>
      <c r="AM78" t="s">
        <v>194</v>
      </c>
      <c r="AN78" t="s">
        <v>195</v>
      </c>
      <c r="AO78" t="s">
        <v>325</v>
      </c>
      <c r="AP78" t="s">
        <v>326</v>
      </c>
      <c r="AQ78" t="s">
        <v>85</v>
      </c>
      <c r="AR78" t="s">
        <v>327</v>
      </c>
      <c r="AS78" t="s">
        <v>328</v>
      </c>
      <c r="AT78" t="s">
        <v>200</v>
      </c>
      <c r="AU78" s="6">
        <v>2021</v>
      </c>
      <c r="AV78">
        <v>214</v>
      </c>
      <c r="AW78" t="s">
        <v>85</v>
      </c>
      <c r="AX78" t="s">
        <v>85</v>
      </c>
      <c r="AY78" t="s">
        <v>85</v>
      </c>
      <c r="AZ78" t="s">
        <v>85</v>
      </c>
      <c r="BA78" t="s">
        <v>85</v>
      </c>
      <c r="BB78" t="s">
        <v>85</v>
      </c>
      <c r="BC78" t="s">
        <v>85</v>
      </c>
      <c r="BD78">
        <v>104132</v>
      </c>
      <c r="BE78" t="s">
        <v>1938</v>
      </c>
      <c r="BF78" t="str">
        <f>HYPERLINK("http://dx.doi.org/10.1016/j.landurbplan.2021.104132","http://dx.doi.org/10.1016/j.landurbplan.2021.104132")</f>
        <v>http://dx.doi.org/10.1016/j.landurbplan.2021.104132</v>
      </c>
      <c r="BG78" t="s">
        <v>85</v>
      </c>
      <c r="BH78" t="s">
        <v>85</v>
      </c>
      <c r="BI78">
        <v>12</v>
      </c>
      <c r="BJ78" s="6" t="s">
        <v>331</v>
      </c>
      <c r="BK78" t="s">
        <v>171</v>
      </c>
      <c r="BL78" t="s">
        <v>332</v>
      </c>
      <c r="BM78" t="s">
        <v>1939</v>
      </c>
      <c r="BN78" t="s">
        <v>85</v>
      </c>
      <c r="BO78" t="s">
        <v>1797</v>
      </c>
      <c r="BP78" t="s">
        <v>85</v>
      </c>
      <c r="BQ78" t="s">
        <v>85</v>
      </c>
      <c r="BR78" t="s">
        <v>116</v>
      </c>
      <c r="BS78" t="s">
        <v>1940</v>
      </c>
      <c r="BT78" t="str">
        <f>HYPERLINK("https%3A%2F%2Fwww.webofscience.com%2Fwos%2Fwoscc%2Ffull-record%2FWOS:000681111700001","View Full Record in Web of Science")</f>
        <v>View Full Record in Web of Science</v>
      </c>
      <c r="BW78" s="6" t="s">
        <v>365</v>
      </c>
      <c r="BX78" s="10" t="s">
        <v>1941</v>
      </c>
      <c r="BY78" s="10" t="s">
        <v>289</v>
      </c>
      <c r="CA78" s="10" t="s">
        <v>1942</v>
      </c>
      <c r="CB78" s="10" t="s">
        <v>122</v>
      </c>
      <c r="CC78" s="7" t="s">
        <v>123</v>
      </c>
      <c r="CD78" s="7" t="s">
        <v>622</v>
      </c>
      <c r="CE78" s="7" t="s">
        <v>1068</v>
      </c>
      <c r="CF78" s="7" t="s">
        <v>1425</v>
      </c>
    </row>
    <row r="79" spans="1:84" ht="195">
      <c r="A79" t="s">
        <v>83</v>
      </c>
      <c r="B79" t="s">
        <v>1943</v>
      </c>
      <c r="C79" t="s">
        <v>85</v>
      </c>
      <c r="D79" t="s">
        <v>85</v>
      </c>
      <c r="E79" t="s">
        <v>85</v>
      </c>
      <c r="F79" t="s">
        <v>1944</v>
      </c>
      <c r="G79" t="s">
        <v>85</v>
      </c>
      <c r="H79" t="s">
        <v>85</v>
      </c>
      <c r="I79" s="5" t="s">
        <v>1945</v>
      </c>
      <c r="J79" t="s">
        <v>793</v>
      </c>
      <c r="K79" t="s">
        <v>85</v>
      </c>
      <c r="L79" t="s">
        <v>85</v>
      </c>
      <c r="M79" t="s">
        <v>89</v>
      </c>
      <c r="N79" t="s">
        <v>90</v>
      </c>
      <c r="O79" t="s">
        <v>85</v>
      </c>
      <c r="P79" t="s">
        <v>85</v>
      </c>
      <c r="Q79" t="s">
        <v>85</v>
      </c>
      <c r="R79" t="s">
        <v>85</v>
      </c>
      <c r="S79" t="s">
        <v>85</v>
      </c>
      <c r="T79" t="s">
        <v>1946</v>
      </c>
      <c r="U79" t="s">
        <v>1947</v>
      </c>
      <c r="V79" s="5" t="s">
        <v>1948</v>
      </c>
      <c r="W79" t="s">
        <v>1949</v>
      </c>
      <c r="X79" t="s">
        <v>1950</v>
      </c>
      <c r="Y79" t="s">
        <v>1951</v>
      </c>
      <c r="Z79" t="s">
        <v>1952</v>
      </c>
      <c r="AA79" t="s">
        <v>1953</v>
      </c>
      <c r="AB79" t="s">
        <v>1954</v>
      </c>
      <c r="AC79" t="s">
        <v>1955</v>
      </c>
      <c r="AD79" t="s">
        <v>1956</v>
      </c>
      <c r="AE79" t="s">
        <v>1957</v>
      </c>
      <c r="AF79" t="s">
        <v>85</v>
      </c>
      <c r="AG79">
        <v>117</v>
      </c>
      <c r="AH79">
        <v>0</v>
      </c>
      <c r="AI79">
        <v>0</v>
      </c>
      <c r="AJ79">
        <v>5</v>
      </c>
      <c r="AK79">
        <v>29</v>
      </c>
      <c r="AL79" t="s">
        <v>193</v>
      </c>
      <c r="AM79" t="s">
        <v>194</v>
      </c>
      <c r="AN79" t="s">
        <v>195</v>
      </c>
      <c r="AO79" t="s">
        <v>804</v>
      </c>
      <c r="AP79" t="s">
        <v>805</v>
      </c>
      <c r="AQ79" t="s">
        <v>85</v>
      </c>
      <c r="AR79" t="s">
        <v>806</v>
      </c>
      <c r="AS79" t="s">
        <v>807</v>
      </c>
      <c r="AT79" t="s">
        <v>808</v>
      </c>
      <c r="AU79" s="6">
        <v>2022</v>
      </c>
      <c r="AV79">
        <v>806</v>
      </c>
      <c r="AW79" t="s">
        <v>85</v>
      </c>
      <c r="AX79">
        <v>1</v>
      </c>
      <c r="AY79" t="s">
        <v>85</v>
      </c>
      <c r="AZ79" t="s">
        <v>85</v>
      </c>
      <c r="BA79" t="s">
        <v>85</v>
      </c>
      <c r="BB79" t="s">
        <v>85</v>
      </c>
      <c r="BC79" t="s">
        <v>85</v>
      </c>
      <c r="BD79">
        <v>150308</v>
      </c>
      <c r="BE79" t="s">
        <v>1958</v>
      </c>
      <c r="BF79" t="str">
        <f>HYPERLINK("http://dx.doi.org/10.1016/j.scitotenv.2021.150308","http://dx.doi.org/10.1016/j.scitotenv.2021.150308")</f>
        <v>http://dx.doi.org/10.1016/j.scitotenv.2021.150308</v>
      </c>
      <c r="BG79" t="s">
        <v>85</v>
      </c>
      <c r="BH79" t="s">
        <v>1959</v>
      </c>
      <c r="BI79">
        <v>12</v>
      </c>
      <c r="BJ79" s="6" t="s">
        <v>111</v>
      </c>
      <c r="BK79" t="s">
        <v>171</v>
      </c>
      <c r="BL79" t="s">
        <v>113</v>
      </c>
      <c r="BM79" t="s">
        <v>1960</v>
      </c>
      <c r="BN79">
        <v>34844306</v>
      </c>
      <c r="BO79" t="s">
        <v>784</v>
      </c>
      <c r="BP79" t="s">
        <v>85</v>
      </c>
      <c r="BQ79" t="s">
        <v>85</v>
      </c>
      <c r="BR79" t="s">
        <v>116</v>
      </c>
      <c r="BS79" t="s">
        <v>1961</v>
      </c>
      <c r="BT79" t="str">
        <f>HYPERLINK("https%3A%2F%2Fwww.webofscience.com%2Fwos%2Fwoscc%2Ffull-record%2FWOS:000709731100015","View Full Record in Web of Science")</f>
        <v>View Full Record in Web of Science</v>
      </c>
      <c r="BW79" s="6" t="s">
        <v>491</v>
      </c>
      <c r="BX79" s="10" t="s">
        <v>1962</v>
      </c>
      <c r="BY79" s="10" t="s">
        <v>289</v>
      </c>
      <c r="BZ79" t="s">
        <v>1963</v>
      </c>
      <c r="CA79" s="10" t="s">
        <v>1964</v>
      </c>
      <c r="CB79" s="10" t="s">
        <v>122</v>
      </c>
      <c r="CC79" s="7" t="s">
        <v>123</v>
      </c>
      <c r="CD79" s="7" t="s">
        <v>622</v>
      </c>
      <c r="CE79" s="7" t="s">
        <v>1068</v>
      </c>
      <c r="CF79" s="7" t="s">
        <v>1965</v>
      </c>
    </row>
    <row r="80" spans="1:84" ht="150">
      <c r="A80" t="s">
        <v>83</v>
      </c>
      <c r="B80" t="s">
        <v>1966</v>
      </c>
      <c r="C80" t="s">
        <v>85</v>
      </c>
      <c r="D80" t="s">
        <v>85</v>
      </c>
      <c r="E80" t="s">
        <v>85</v>
      </c>
      <c r="F80" t="s">
        <v>1967</v>
      </c>
      <c r="G80" t="s">
        <v>85</v>
      </c>
      <c r="H80" t="s">
        <v>85</v>
      </c>
      <c r="I80" s="5" t="s">
        <v>1968</v>
      </c>
      <c r="J80" t="s">
        <v>1969</v>
      </c>
      <c r="K80" t="s">
        <v>85</v>
      </c>
      <c r="L80" t="s">
        <v>85</v>
      </c>
      <c r="M80" t="s">
        <v>89</v>
      </c>
      <c r="N80" t="s">
        <v>90</v>
      </c>
      <c r="O80" t="s">
        <v>85</v>
      </c>
      <c r="P80" t="s">
        <v>85</v>
      </c>
      <c r="Q80" t="s">
        <v>85</v>
      </c>
      <c r="R80" t="s">
        <v>85</v>
      </c>
      <c r="S80" t="s">
        <v>85</v>
      </c>
      <c r="T80" t="s">
        <v>1970</v>
      </c>
      <c r="U80" t="s">
        <v>1971</v>
      </c>
      <c r="V80" s="5" t="s">
        <v>1972</v>
      </c>
      <c r="W80" t="s">
        <v>1973</v>
      </c>
      <c r="X80" t="s">
        <v>1974</v>
      </c>
      <c r="Y80" t="s">
        <v>1975</v>
      </c>
      <c r="Z80" t="s">
        <v>1976</v>
      </c>
      <c r="AA80" t="s">
        <v>85</v>
      </c>
      <c r="AB80" t="s">
        <v>1977</v>
      </c>
      <c r="AC80" t="s">
        <v>85</v>
      </c>
      <c r="AD80" t="s">
        <v>85</v>
      </c>
      <c r="AE80" t="s">
        <v>85</v>
      </c>
      <c r="AF80" t="s">
        <v>85</v>
      </c>
      <c r="AG80">
        <v>134</v>
      </c>
      <c r="AH80">
        <v>8</v>
      </c>
      <c r="AI80">
        <v>8</v>
      </c>
      <c r="AJ80">
        <v>10</v>
      </c>
      <c r="AK80">
        <v>71</v>
      </c>
      <c r="AL80" t="s">
        <v>352</v>
      </c>
      <c r="AM80" t="s">
        <v>353</v>
      </c>
      <c r="AN80" t="s">
        <v>354</v>
      </c>
      <c r="AO80" t="s">
        <v>1978</v>
      </c>
      <c r="AP80" t="s">
        <v>85</v>
      </c>
      <c r="AQ80" t="s">
        <v>85</v>
      </c>
      <c r="AR80" t="s">
        <v>1979</v>
      </c>
      <c r="AS80" t="s">
        <v>1980</v>
      </c>
      <c r="AT80" t="s">
        <v>200</v>
      </c>
      <c r="AU80" s="6">
        <v>2021</v>
      </c>
      <c r="AV80">
        <v>15</v>
      </c>
      <c r="AW80">
        <v>10</v>
      </c>
      <c r="AX80" t="s">
        <v>85</v>
      </c>
      <c r="AY80" t="s">
        <v>85</v>
      </c>
      <c r="AZ80" t="s">
        <v>85</v>
      </c>
      <c r="BA80" t="s">
        <v>85</v>
      </c>
      <c r="BB80" t="s">
        <v>85</v>
      </c>
      <c r="BC80" t="s">
        <v>85</v>
      </c>
      <c r="BD80" t="s">
        <v>1981</v>
      </c>
      <c r="BE80" t="s">
        <v>1982</v>
      </c>
      <c r="BF80" t="str">
        <f>HYPERLINK("http://dx.doi.org/10.1111/gec3.12593","http://dx.doi.org/10.1111/gec3.12593")</f>
        <v>http://dx.doi.org/10.1111/gec3.12593</v>
      </c>
      <c r="BG80" t="s">
        <v>85</v>
      </c>
      <c r="BH80" t="s">
        <v>1959</v>
      </c>
      <c r="BI80">
        <v>15</v>
      </c>
      <c r="BJ80" s="6" t="s">
        <v>1338</v>
      </c>
      <c r="BK80" t="s">
        <v>146</v>
      </c>
      <c r="BL80" t="s">
        <v>1338</v>
      </c>
      <c r="BM80" t="s">
        <v>1983</v>
      </c>
      <c r="BN80" t="s">
        <v>85</v>
      </c>
      <c r="BO80" t="s">
        <v>85</v>
      </c>
      <c r="BP80" t="s">
        <v>85</v>
      </c>
      <c r="BQ80" t="s">
        <v>85</v>
      </c>
      <c r="BR80" t="s">
        <v>116</v>
      </c>
      <c r="BS80" t="s">
        <v>1984</v>
      </c>
      <c r="BT80" t="str">
        <f>HYPERLINK("https%3A%2F%2Fwww.webofscience.com%2Fwos%2Fwoscc%2Ffull-record%2FWOS:000693759100001","View Full Record in Web of Science")</f>
        <v>View Full Record in Web of Science</v>
      </c>
      <c r="BW80" s="6" t="s">
        <v>491</v>
      </c>
      <c r="BX80" s="10" t="s">
        <v>1985</v>
      </c>
      <c r="BY80" s="10" t="s">
        <v>151</v>
      </c>
      <c r="CB80" s="10" t="s">
        <v>122</v>
      </c>
      <c r="CC80" s="7" t="s">
        <v>1861</v>
      </c>
      <c r="CD80" s="7" t="s">
        <v>1144</v>
      </c>
    </row>
    <row r="81" spans="1:84" ht="210">
      <c r="A81" t="s">
        <v>83</v>
      </c>
      <c r="B81" t="s">
        <v>1986</v>
      </c>
      <c r="C81" t="s">
        <v>85</v>
      </c>
      <c r="D81" t="s">
        <v>85</v>
      </c>
      <c r="E81" t="s">
        <v>85</v>
      </c>
      <c r="F81" t="s">
        <v>1987</v>
      </c>
      <c r="G81" t="s">
        <v>85</v>
      </c>
      <c r="H81" t="s">
        <v>85</v>
      </c>
      <c r="I81" s="5" t="s">
        <v>1988</v>
      </c>
      <c r="J81" t="s">
        <v>1561</v>
      </c>
      <c r="K81" t="s">
        <v>85</v>
      </c>
      <c r="L81" t="s">
        <v>85</v>
      </c>
      <c r="M81" t="s">
        <v>89</v>
      </c>
      <c r="N81" t="s">
        <v>90</v>
      </c>
      <c r="O81" t="s">
        <v>85</v>
      </c>
      <c r="P81" t="s">
        <v>85</v>
      </c>
      <c r="Q81" t="s">
        <v>85</v>
      </c>
      <c r="R81" t="s">
        <v>85</v>
      </c>
      <c r="S81" t="s">
        <v>85</v>
      </c>
      <c r="T81" t="s">
        <v>1989</v>
      </c>
      <c r="U81" t="s">
        <v>1990</v>
      </c>
      <c r="V81" s="5" t="s">
        <v>1991</v>
      </c>
      <c r="W81" t="s">
        <v>1992</v>
      </c>
      <c r="X81" t="s">
        <v>1993</v>
      </c>
      <c r="Y81" t="s">
        <v>1994</v>
      </c>
      <c r="Z81" t="s">
        <v>1995</v>
      </c>
      <c r="AA81" t="s">
        <v>85</v>
      </c>
      <c r="AB81" t="s">
        <v>85</v>
      </c>
      <c r="AC81" t="s">
        <v>1996</v>
      </c>
      <c r="AD81" t="s">
        <v>1997</v>
      </c>
      <c r="AE81" t="s">
        <v>1998</v>
      </c>
      <c r="AF81" t="s">
        <v>85</v>
      </c>
      <c r="AG81">
        <v>70</v>
      </c>
      <c r="AH81">
        <v>10</v>
      </c>
      <c r="AI81">
        <v>10</v>
      </c>
      <c r="AJ81">
        <v>8</v>
      </c>
      <c r="AK81">
        <v>72</v>
      </c>
      <c r="AL81" t="s">
        <v>680</v>
      </c>
      <c r="AM81" t="s">
        <v>102</v>
      </c>
      <c r="AN81" t="s">
        <v>681</v>
      </c>
      <c r="AO81" t="s">
        <v>1571</v>
      </c>
      <c r="AP81" t="s">
        <v>1572</v>
      </c>
      <c r="AQ81" t="s">
        <v>85</v>
      </c>
      <c r="AR81" t="s">
        <v>1573</v>
      </c>
      <c r="AS81" t="s">
        <v>1574</v>
      </c>
      <c r="AT81" t="s">
        <v>329</v>
      </c>
      <c r="AU81" s="6">
        <v>2021</v>
      </c>
      <c r="AV81">
        <v>71</v>
      </c>
      <c r="AW81" t="s">
        <v>85</v>
      </c>
      <c r="AX81" t="s">
        <v>85</v>
      </c>
      <c r="AY81" t="s">
        <v>85</v>
      </c>
      <c r="AZ81" t="s">
        <v>85</v>
      </c>
      <c r="BA81" t="s">
        <v>85</v>
      </c>
      <c r="BB81" t="s">
        <v>85</v>
      </c>
      <c r="BC81" t="s">
        <v>85</v>
      </c>
      <c r="BD81">
        <v>102655</v>
      </c>
      <c r="BE81" t="s">
        <v>1999</v>
      </c>
      <c r="BF81" t="str">
        <f>HYPERLINK("http://dx.doi.org/10.1016/j.healthplace.2021.102655","http://dx.doi.org/10.1016/j.healthplace.2021.102655")</f>
        <v>http://dx.doi.org/10.1016/j.healthplace.2021.102655</v>
      </c>
      <c r="BG81" t="s">
        <v>85</v>
      </c>
      <c r="BH81" t="s">
        <v>1959</v>
      </c>
      <c r="BI81">
        <v>10</v>
      </c>
      <c r="BJ81" s="6" t="s">
        <v>616</v>
      </c>
      <c r="BK81" t="s">
        <v>171</v>
      </c>
      <c r="BL81" t="s">
        <v>616</v>
      </c>
      <c r="BM81" t="s">
        <v>2000</v>
      </c>
      <c r="BN81">
        <v>34482159</v>
      </c>
      <c r="BO81" t="s">
        <v>85</v>
      </c>
      <c r="BP81" t="s">
        <v>85</v>
      </c>
      <c r="BQ81" t="s">
        <v>85</v>
      </c>
      <c r="BR81" t="s">
        <v>116</v>
      </c>
      <c r="BS81" t="s">
        <v>2001</v>
      </c>
      <c r="BT81" t="str">
        <f>HYPERLINK("https%3A%2F%2Fwww.webofscience.com%2Fwos%2Fwoscc%2Ffull-record%2FWOS:000697054900005","View Full Record in Web of Science")</f>
        <v>View Full Record in Web of Science</v>
      </c>
      <c r="BW81" s="6" t="s">
        <v>365</v>
      </c>
      <c r="BX81" s="10" t="s">
        <v>2002</v>
      </c>
      <c r="BY81" s="10" t="s">
        <v>289</v>
      </c>
      <c r="CA81" s="10" t="s">
        <v>2003</v>
      </c>
      <c r="CB81" s="10" t="s">
        <v>122</v>
      </c>
      <c r="CC81" s="7" t="s">
        <v>123</v>
      </c>
      <c r="CD81" s="7" t="s">
        <v>622</v>
      </c>
      <c r="CE81" s="7" t="s">
        <v>554</v>
      </c>
      <c r="CF81" s="7" t="s">
        <v>154</v>
      </c>
    </row>
    <row r="82" spans="1:84" ht="195">
      <c r="A82" t="s">
        <v>83</v>
      </c>
      <c r="B82" t="s">
        <v>2004</v>
      </c>
      <c r="C82" t="s">
        <v>85</v>
      </c>
      <c r="D82" t="s">
        <v>85</v>
      </c>
      <c r="E82" t="s">
        <v>85</v>
      </c>
      <c r="F82" t="s">
        <v>2005</v>
      </c>
      <c r="G82" t="s">
        <v>85</v>
      </c>
      <c r="H82" t="s">
        <v>85</v>
      </c>
      <c r="I82" s="5" t="s">
        <v>2006</v>
      </c>
      <c r="J82" t="s">
        <v>312</v>
      </c>
      <c r="K82" t="s">
        <v>85</v>
      </c>
      <c r="L82" t="s">
        <v>85</v>
      </c>
      <c r="M82" t="s">
        <v>89</v>
      </c>
      <c r="N82" t="s">
        <v>90</v>
      </c>
      <c r="O82" t="s">
        <v>85</v>
      </c>
      <c r="P82" t="s">
        <v>85</v>
      </c>
      <c r="Q82" t="s">
        <v>85</v>
      </c>
      <c r="R82" t="s">
        <v>85</v>
      </c>
      <c r="S82" t="s">
        <v>85</v>
      </c>
      <c r="T82" t="s">
        <v>2007</v>
      </c>
      <c r="U82" t="s">
        <v>2008</v>
      </c>
      <c r="V82" s="5" t="s">
        <v>2009</v>
      </c>
      <c r="W82" t="s">
        <v>2010</v>
      </c>
      <c r="X82" t="s">
        <v>2011</v>
      </c>
      <c r="Y82" t="s">
        <v>2012</v>
      </c>
      <c r="Z82" t="s">
        <v>2013</v>
      </c>
      <c r="AA82" t="s">
        <v>85</v>
      </c>
      <c r="AB82" t="s">
        <v>85</v>
      </c>
      <c r="AC82" t="s">
        <v>2014</v>
      </c>
      <c r="AD82" t="s">
        <v>2015</v>
      </c>
      <c r="AE82" t="s">
        <v>2016</v>
      </c>
      <c r="AF82" t="s">
        <v>85</v>
      </c>
      <c r="AG82">
        <v>65</v>
      </c>
      <c r="AH82">
        <v>15</v>
      </c>
      <c r="AI82">
        <v>15</v>
      </c>
      <c r="AJ82">
        <v>17</v>
      </c>
      <c r="AK82">
        <v>163</v>
      </c>
      <c r="AL82" t="s">
        <v>193</v>
      </c>
      <c r="AM82" t="s">
        <v>194</v>
      </c>
      <c r="AN82" t="s">
        <v>195</v>
      </c>
      <c r="AO82" t="s">
        <v>325</v>
      </c>
      <c r="AP82" t="s">
        <v>326</v>
      </c>
      <c r="AQ82" t="s">
        <v>85</v>
      </c>
      <c r="AR82" t="s">
        <v>327</v>
      </c>
      <c r="AS82" t="s">
        <v>328</v>
      </c>
      <c r="AT82" t="s">
        <v>329</v>
      </c>
      <c r="AU82" s="6">
        <v>2021</v>
      </c>
      <c r="AV82">
        <v>213</v>
      </c>
      <c r="AW82" t="s">
        <v>85</v>
      </c>
      <c r="AX82" t="s">
        <v>85</v>
      </c>
      <c r="AY82" t="s">
        <v>85</v>
      </c>
      <c r="AZ82" t="s">
        <v>85</v>
      </c>
      <c r="BA82" t="s">
        <v>85</v>
      </c>
      <c r="BB82" t="s">
        <v>85</v>
      </c>
      <c r="BC82" t="s">
        <v>85</v>
      </c>
      <c r="BD82">
        <v>104135</v>
      </c>
      <c r="BE82" t="s">
        <v>2017</v>
      </c>
      <c r="BF82" t="str">
        <f>HYPERLINK("http://dx.doi.org/10.1016/j.landurbplan.2021.104135","http://dx.doi.org/10.1016/j.landurbplan.2021.104135")</f>
        <v>http://dx.doi.org/10.1016/j.landurbplan.2021.104135</v>
      </c>
      <c r="BG82" t="s">
        <v>85</v>
      </c>
      <c r="BH82" t="s">
        <v>85</v>
      </c>
      <c r="BI82">
        <v>9</v>
      </c>
      <c r="BJ82" s="6" t="s">
        <v>331</v>
      </c>
      <c r="BK82" t="s">
        <v>171</v>
      </c>
      <c r="BL82" t="s">
        <v>332</v>
      </c>
      <c r="BM82" t="s">
        <v>2018</v>
      </c>
      <c r="BN82" t="s">
        <v>85</v>
      </c>
      <c r="BO82" t="s">
        <v>85</v>
      </c>
      <c r="BP82" t="s">
        <v>85</v>
      </c>
      <c r="BQ82" t="s">
        <v>85</v>
      </c>
      <c r="BR82" t="s">
        <v>116</v>
      </c>
      <c r="BS82" t="s">
        <v>2019</v>
      </c>
      <c r="BT82" t="str">
        <f>HYPERLINK("https%3A%2F%2Fwww.webofscience.com%2Fwos%2Fwoscc%2Ffull-record%2FWOS:000654110100005","View Full Record in Web of Science")</f>
        <v>View Full Record in Web of Science</v>
      </c>
      <c r="BW82" s="6" t="s">
        <v>149</v>
      </c>
      <c r="BX82" s="10" t="s">
        <v>2020</v>
      </c>
      <c r="BY82" s="10" t="s">
        <v>151</v>
      </c>
      <c r="CA82" s="10" t="s">
        <v>2021</v>
      </c>
      <c r="CB82" s="10" t="s">
        <v>122</v>
      </c>
      <c r="CC82" s="7" t="s">
        <v>123</v>
      </c>
      <c r="CD82" s="7" t="s">
        <v>622</v>
      </c>
      <c r="CE82" s="7" t="s">
        <v>554</v>
      </c>
      <c r="CF82" s="7" t="s">
        <v>2022</v>
      </c>
    </row>
    <row r="83" spans="1:84" ht="210">
      <c r="A83" t="s">
        <v>83</v>
      </c>
      <c r="B83" t="s">
        <v>2023</v>
      </c>
      <c r="C83" t="s">
        <v>85</v>
      </c>
      <c r="D83" t="s">
        <v>85</v>
      </c>
      <c r="E83" t="s">
        <v>85</v>
      </c>
      <c r="F83" t="s">
        <v>2024</v>
      </c>
      <c r="G83" t="s">
        <v>85</v>
      </c>
      <c r="H83" t="s">
        <v>85</v>
      </c>
      <c r="I83" s="5" t="s">
        <v>2025</v>
      </c>
      <c r="J83" t="s">
        <v>2026</v>
      </c>
      <c r="K83" t="s">
        <v>85</v>
      </c>
      <c r="L83" t="s">
        <v>85</v>
      </c>
      <c r="M83" t="s">
        <v>89</v>
      </c>
      <c r="N83" t="s">
        <v>90</v>
      </c>
      <c r="O83" t="s">
        <v>85</v>
      </c>
      <c r="P83" t="s">
        <v>85</v>
      </c>
      <c r="Q83" t="s">
        <v>85</v>
      </c>
      <c r="R83" t="s">
        <v>85</v>
      </c>
      <c r="S83" t="s">
        <v>85</v>
      </c>
      <c r="T83" t="s">
        <v>2027</v>
      </c>
      <c r="U83" t="s">
        <v>2028</v>
      </c>
      <c r="V83" s="5" t="s">
        <v>2029</v>
      </c>
      <c r="W83" t="s">
        <v>2030</v>
      </c>
      <c r="X83" t="s">
        <v>2031</v>
      </c>
      <c r="Y83" t="s">
        <v>2032</v>
      </c>
      <c r="Z83" t="s">
        <v>2033</v>
      </c>
      <c r="AA83" t="s">
        <v>85</v>
      </c>
      <c r="AB83" t="s">
        <v>2034</v>
      </c>
      <c r="AC83" t="s">
        <v>2035</v>
      </c>
      <c r="AD83" t="s">
        <v>2036</v>
      </c>
      <c r="AE83" t="s">
        <v>2037</v>
      </c>
      <c r="AF83" t="s">
        <v>85</v>
      </c>
      <c r="AG83">
        <v>55</v>
      </c>
      <c r="AH83">
        <v>1</v>
      </c>
      <c r="AI83">
        <v>1</v>
      </c>
      <c r="AJ83">
        <v>4</v>
      </c>
      <c r="AK83">
        <v>38</v>
      </c>
      <c r="AL83" t="s">
        <v>352</v>
      </c>
      <c r="AM83" t="s">
        <v>353</v>
      </c>
      <c r="AN83" t="s">
        <v>354</v>
      </c>
      <c r="AO83" t="s">
        <v>2038</v>
      </c>
      <c r="AP83" t="s">
        <v>2039</v>
      </c>
      <c r="AQ83" t="s">
        <v>85</v>
      </c>
      <c r="AR83" t="s">
        <v>2040</v>
      </c>
      <c r="AS83" t="s">
        <v>2041</v>
      </c>
      <c r="AT83" t="s">
        <v>761</v>
      </c>
      <c r="AU83" s="6">
        <v>2021</v>
      </c>
      <c r="AV83">
        <v>187</v>
      </c>
      <c r="AW83">
        <v>4</v>
      </c>
      <c r="AX83" t="s">
        <v>85</v>
      </c>
      <c r="AY83" t="s">
        <v>85</v>
      </c>
      <c r="AZ83" t="s">
        <v>85</v>
      </c>
      <c r="BA83" t="s">
        <v>85</v>
      </c>
      <c r="BB83">
        <v>346</v>
      </c>
      <c r="BC83">
        <v>360</v>
      </c>
      <c r="BD83" t="s">
        <v>85</v>
      </c>
      <c r="BE83" t="s">
        <v>2042</v>
      </c>
      <c r="BF83" t="str">
        <f>HYPERLINK("http://dx.doi.org/10.1111/geoj.12406","http://dx.doi.org/10.1111/geoj.12406")</f>
        <v>http://dx.doi.org/10.1111/geoj.12406</v>
      </c>
      <c r="BG83" t="s">
        <v>85</v>
      </c>
      <c r="BH83" t="s">
        <v>2043</v>
      </c>
      <c r="BI83">
        <v>15</v>
      </c>
      <c r="BJ83" s="6" t="s">
        <v>1338</v>
      </c>
      <c r="BK83" t="s">
        <v>146</v>
      </c>
      <c r="BL83" t="s">
        <v>1338</v>
      </c>
      <c r="BM83" t="s">
        <v>2044</v>
      </c>
      <c r="BN83" t="s">
        <v>85</v>
      </c>
      <c r="BO83" t="s">
        <v>1797</v>
      </c>
      <c r="BP83" t="s">
        <v>85</v>
      </c>
      <c r="BQ83" t="s">
        <v>85</v>
      </c>
      <c r="BR83" t="s">
        <v>116</v>
      </c>
      <c r="BS83" t="s">
        <v>2045</v>
      </c>
      <c r="BT83" t="str">
        <f>HYPERLINK("https%3A%2F%2Fwww.webofscience.com%2Fwos%2Fwoscc%2Ffull-record%2FWOS:000685859700001","View Full Record in Web of Science")</f>
        <v>View Full Record in Web of Science</v>
      </c>
      <c r="BW83" s="6" t="s">
        <v>149</v>
      </c>
      <c r="BX83" s="10" t="s">
        <v>2046</v>
      </c>
      <c r="BY83" s="10" t="s">
        <v>151</v>
      </c>
      <c r="CA83" s="10" t="s">
        <v>1123</v>
      </c>
      <c r="CB83" s="10" t="s">
        <v>122</v>
      </c>
      <c r="CC83" s="7" t="s">
        <v>2047</v>
      </c>
      <c r="CD83" s="7" t="s">
        <v>622</v>
      </c>
      <c r="CE83" s="7" t="s">
        <v>408</v>
      </c>
      <c r="CF83" s="7" t="s">
        <v>2048</v>
      </c>
    </row>
    <row r="84" spans="1:84" ht="240">
      <c r="A84" t="s">
        <v>83</v>
      </c>
      <c r="B84" t="s">
        <v>2049</v>
      </c>
      <c r="C84" t="s">
        <v>85</v>
      </c>
      <c r="D84" t="s">
        <v>85</v>
      </c>
      <c r="E84" t="s">
        <v>85</v>
      </c>
      <c r="F84" t="s">
        <v>2050</v>
      </c>
      <c r="G84" t="s">
        <v>85</v>
      </c>
      <c r="H84" t="s">
        <v>85</v>
      </c>
      <c r="I84" s="5" t="s">
        <v>2051</v>
      </c>
      <c r="J84" t="s">
        <v>874</v>
      </c>
      <c r="K84" t="s">
        <v>85</v>
      </c>
      <c r="L84" t="s">
        <v>85</v>
      </c>
      <c r="M84" t="s">
        <v>89</v>
      </c>
      <c r="N84" t="s">
        <v>90</v>
      </c>
      <c r="O84" t="s">
        <v>85</v>
      </c>
      <c r="P84" t="s">
        <v>85</v>
      </c>
      <c r="Q84" t="s">
        <v>85</v>
      </c>
      <c r="R84" t="s">
        <v>85</v>
      </c>
      <c r="S84" t="s">
        <v>85</v>
      </c>
      <c r="T84" t="s">
        <v>2052</v>
      </c>
      <c r="U84" t="s">
        <v>2053</v>
      </c>
      <c r="V84" s="5" t="s">
        <v>2054</v>
      </c>
      <c r="W84" t="s">
        <v>2055</v>
      </c>
      <c r="X84" t="s">
        <v>2056</v>
      </c>
      <c r="Y84" t="s">
        <v>2057</v>
      </c>
      <c r="Z84" t="s">
        <v>2058</v>
      </c>
      <c r="AA84" t="s">
        <v>2059</v>
      </c>
      <c r="AB84" t="s">
        <v>2060</v>
      </c>
      <c r="AC84" t="s">
        <v>85</v>
      </c>
      <c r="AD84" t="s">
        <v>85</v>
      </c>
      <c r="AE84" t="s">
        <v>85</v>
      </c>
      <c r="AF84" t="s">
        <v>85</v>
      </c>
      <c r="AG84">
        <v>189</v>
      </c>
      <c r="AH84">
        <v>11</v>
      </c>
      <c r="AI84">
        <v>11</v>
      </c>
      <c r="AJ84">
        <v>11</v>
      </c>
      <c r="AK84">
        <v>40</v>
      </c>
      <c r="AL84" t="s">
        <v>137</v>
      </c>
      <c r="AM84" t="s">
        <v>138</v>
      </c>
      <c r="AN84" t="s">
        <v>139</v>
      </c>
      <c r="AO84" t="s">
        <v>85</v>
      </c>
      <c r="AP84" t="s">
        <v>884</v>
      </c>
      <c r="AQ84" t="s">
        <v>85</v>
      </c>
      <c r="AR84" t="s">
        <v>885</v>
      </c>
      <c r="AS84" t="s">
        <v>886</v>
      </c>
      <c r="AT84" t="s">
        <v>108</v>
      </c>
      <c r="AU84" s="6">
        <v>2021</v>
      </c>
      <c r="AV84">
        <v>18</v>
      </c>
      <c r="AW84">
        <v>16</v>
      </c>
      <c r="AX84" t="s">
        <v>85</v>
      </c>
      <c r="AY84" t="s">
        <v>85</v>
      </c>
      <c r="AZ84" t="s">
        <v>85</v>
      </c>
      <c r="BA84" t="s">
        <v>85</v>
      </c>
      <c r="BB84" t="s">
        <v>85</v>
      </c>
      <c r="BC84" t="s">
        <v>85</v>
      </c>
      <c r="BD84">
        <v>8629</v>
      </c>
      <c r="BE84" t="s">
        <v>2061</v>
      </c>
      <c r="BF84" t="str">
        <f>HYPERLINK("http://dx.doi.org/10.3390/ijerph18168629","http://dx.doi.org/10.3390/ijerph18168629")</f>
        <v>http://dx.doi.org/10.3390/ijerph18168629</v>
      </c>
      <c r="BG84" t="s">
        <v>85</v>
      </c>
      <c r="BH84" t="s">
        <v>85</v>
      </c>
      <c r="BI84">
        <v>24</v>
      </c>
      <c r="BJ84" s="6" t="s">
        <v>889</v>
      </c>
      <c r="BK84" t="s">
        <v>171</v>
      </c>
      <c r="BL84" t="s">
        <v>890</v>
      </c>
      <c r="BM84" t="s">
        <v>2062</v>
      </c>
      <c r="BN84">
        <v>34444378</v>
      </c>
      <c r="BO84" t="s">
        <v>2063</v>
      </c>
      <c r="BP84" t="s">
        <v>85</v>
      </c>
      <c r="BQ84" t="s">
        <v>85</v>
      </c>
      <c r="BR84" t="s">
        <v>116</v>
      </c>
      <c r="BS84" t="s">
        <v>2064</v>
      </c>
      <c r="BT84" t="str">
        <f>HYPERLINK("https%3A%2F%2Fwww.webofscience.com%2Fwos%2Fwoscc%2Ffull-record%2FWOS:000690513600001","View Full Record in Web of Science")</f>
        <v>View Full Record in Web of Science</v>
      </c>
      <c r="BW84" s="6" t="s">
        <v>149</v>
      </c>
      <c r="BX84" s="10" t="s">
        <v>2065</v>
      </c>
      <c r="BY84" s="10" t="s">
        <v>151</v>
      </c>
      <c r="CA84" s="10" t="s">
        <v>2066</v>
      </c>
      <c r="CB84" s="10" t="s">
        <v>122</v>
      </c>
      <c r="CC84" s="7" t="s">
        <v>123</v>
      </c>
      <c r="CD84" s="7" t="s">
        <v>622</v>
      </c>
      <c r="CE84" s="7" t="s">
        <v>408</v>
      </c>
      <c r="CF84" s="7" t="s">
        <v>369</v>
      </c>
    </row>
    <row r="85" spans="1:84" ht="210">
      <c r="A85" t="s">
        <v>83</v>
      </c>
      <c r="B85" t="s">
        <v>2067</v>
      </c>
      <c r="C85" t="s">
        <v>85</v>
      </c>
      <c r="D85" t="s">
        <v>85</v>
      </c>
      <c r="E85" t="s">
        <v>85</v>
      </c>
      <c r="F85" t="s">
        <v>2068</v>
      </c>
      <c r="G85" t="s">
        <v>85</v>
      </c>
      <c r="H85" t="s">
        <v>85</v>
      </c>
      <c r="I85" s="5" t="s">
        <v>2069</v>
      </c>
      <c r="J85" t="s">
        <v>312</v>
      </c>
      <c r="K85" t="s">
        <v>85</v>
      </c>
      <c r="L85" t="s">
        <v>85</v>
      </c>
      <c r="M85" t="s">
        <v>89</v>
      </c>
      <c r="N85" t="s">
        <v>90</v>
      </c>
      <c r="O85" t="s">
        <v>85</v>
      </c>
      <c r="P85" t="s">
        <v>85</v>
      </c>
      <c r="Q85" t="s">
        <v>85</v>
      </c>
      <c r="R85" t="s">
        <v>85</v>
      </c>
      <c r="S85" t="s">
        <v>85</v>
      </c>
      <c r="T85" t="s">
        <v>2070</v>
      </c>
      <c r="U85" t="s">
        <v>2071</v>
      </c>
      <c r="V85" s="5" t="s">
        <v>2072</v>
      </c>
      <c r="W85" t="s">
        <v>2073</v>
      </c>
      <c r="X85" t="s">
        <v>2074</v>
      </c>
      <c r="Y85" t="s">
        <v>2075</v>
      </c>
      <c r="Z85" t="s">
        <v>2033</v>
      </c>
      <c r="AA85" t="s">
        <v>85</v>
      </c>
      <c r="AB85" t="s">
        <v>85</v>
      </c>
      <c r="AC85" t="s">
        <v>2076</v>
      </c>
      <c r="AD85" t="s">
        <v>2077</v>
      </c>
      <c r="AE85" t="s">
        <v>2078</v>
      </c>
      <c r="AF85" t="s">
        <v>85</v>
      </c>
      <c r="AG85">
        <v>85</v>
      </c>
      <c r="AH85">
        <v>14</v>
      </c>
      <c r="AI85">
        <v>14</v>
      </c>
      <c r="AJ85">
        <v>11</v>
      </c>
      <c r="AK85">
        <v>82</v>
      </c>
      <c r="AL85" t="s">
        <v>193</v>
      </c>
      <c r="AM85" t="s">
        <v>194</v>
      </c>
      <c r="AN85" t="s">
        <v>195</v>
      </c>
      <c r="AO85" t="s">
        <v>325</v>
      </c>
      <c r="AP85" t="s">
        <v>326</v>
      </c>
      <c r="AQ85" t="s">
        <v>85</v>
      </c>
      <c r="AR85" t="s">
        <v>327</v>
      </c>
      <c r="AS85" t="s">
        <v>328</v>
      </c>
      <c r="AT85" t="s">
        <v>108</v>
      </c>
      <c r="AU85" s="6">
        <v>2021</v>
      </c>
      <c r="AV85">
        <v>212</v>
      </c>
      <c r="AW85" t="s">
        <v>85</v>
      </c>
      <c r="AX85" t="s">
        <v>85</v>
      </c>
      <c r="AY85" t="s">
        <v>85</v>
      </c>
      <c r="AZ85" t="s">
        <v>85</v>
      </c>
      <c r="BA85" t="s">
        <v>85</v>
      </c>
      <c r="BB85" t="s">
        <v>85</v>
      </c>
      <c r="BC85" t="s">
        <v>85</v>
      </c>
      <c r="BD85">
        <v>104119</v>
      </c>
      <c r="BE85" t="s">
        <v>2079</v>
      </c>
      <c r="BF85" t="str">
        <f>HYPERLINK("http://dx.doi.org/10.1016/j.landurbplan.2021.104119","http://dx.doi.org/10.1016/j.landurbplan.2021.104119")</f>
        <v>http://dx.doi.org/10.1016/j.landurbplan.2021.104119</v>
      </c>
      <c r="BG85" t="s">
        <v>85</v>
      </c>
      <c r="BH85" t="s">
        <v>85</v>
      </c>
      <c r="BI85">
        <v>10</v>
      </c>
      <c r="BJ85" s="6" t="s">
        <v>331</v>
      </c>
      <c r="BK85" t="s">
        <v>171</v>
      </c>
      <c r="BL85" t="s">
        <v>332</v>
      </c>
      <c r="BM85" t="s">
        <v>2080</v>
      </c>
      <c r="BN85" t="s">
        <v>85</v>
      </c>
      <c r="BO85" t="s">
        <v>206</v>
      </c>
      <c r="BP85" t="s">
        <v>85</v>
      </c>
      <c r="BQ85" t="s">
        <v>85</v>
      </c>
      <c r="BR85" t="s">
        <v>116</v>
      </c>
      <c r="BS85" t="s">
        <v>2081</v>
      </c>
      <c r="BT85" t="str">
        <f>HYPERLINK("https%3A%2F%2Fwww.webofscience.com%2Fwos%2Fwoscc%2Ffull-record%2FWOS:000649730500001","View Full Record in Web of Science")</f>
        <v>View Full Record in Web of Science</v>
      </c>
      <c r="BW85" s="6" t="s">
        <v>149</v>
      </c>
      <c r="BX85" s="10" t="s">
        <v>2082</v>
      </c>
      <c r="BY85" s="10" t="s">
        <v>151</v>
      </c>
      <c r="CA85" s="10" t="s">
        <v>2083</v>
      </c>
      <c r="CB85" s="10" t="s">
        <v>122</v>
      </c>
      <c r="CC85" s="7" t="s">
        <v>2084</v>
      </c>
      <c r="CD85" s="7" t="s">
        <v>622</v>
      </c>
      <c r="CE85" s="7" t="s">
        <v>118</v>
      </c>
      <c r="CF85" s="7" t="s">
        <v>2048</v>
      </c>
    </row>
    <row r="86" spans="1:84" ht="180">
      <c r="A86" t="s">
        <v>83</v>
      </c>
      <c r="B86" t="s">
        <v>2085</v>
      </c>
      <c r="C86" t="s">
        <v>85</v>
      </c>
      <c r="D86" t="s">
        <v>85</v>
      </c>
      <c r="E86" t="s">
        <v>85</v>
      </c>
      <c r="F86" t="s">
        <v>2086</v>
      </c>
      <c r="G86" t="s">
        <v>85</v>
      </c>
      <c r="H86" t="s">
        <v>85</v>
      </c>
      <c r="I86" s="5" t="s">
        <v>2087</v>
      </c>
      <c r="J86" t="s">
        <v>2088</v>
      </c>
      <c r="K86" t="s">
        <v>85</v>
      </c>
      <c r="L86" t="s">
        <v>85</v>
      </c>
      <c r="M86" t="s">
        <v>89</v>
      </c>
      <c r="N86" t="s">
        <v>90</v>
      </c>
      <c r="O86" t="s">
        <v>85</v>
      </c>
      <c r="P86" t="s">
        <v>85</v>
      </c>
      <c r="Q86" t="s">
        <v>85</v>
      </c>
      <c r="R86" t="s">
        <v>85</v>
      </c>
      <c r="S86" t="s">
        <v>85</v>
      </c>
      <c r="T86" t="s">
        <v>85</v>
      </c>
      <c r="U86" t="s">
        <v>2089</v>
      </c>
      <c r="V86" s="5" t="s">
        <v>2090</v>
      </c>
      <c r="W86" t="s">
        <v>2091</v>
      </c>
      <c r="X86" t="s">
        <v>2092</v>
      </c>
      <c r="Y86" t="s">
        <v>2093</v>
      </c>
      <c r="Z86" t="s">
        <v>2094</v>
      </c>
      <c r="AA86" t="s">
        <v>2095</v>
      </c>
      <c r="AB86" t="s">
        <v>2096</v>
      </c>
      <c r="AC86" t="s">
        <v>2097</v>
      </c>
      <c r="AD86" t="s">
        <v>2098</v>
      </c>
      <c r="AE86" t="s">
        <v>2099</v>
      </c>
      <c r="AF86" t="s">
        <v>85</v>
      </c>
      <c r="AG86">
        <v>60</v>
      </c>
      <c r="AH86">
        <v>22</v>
      </c>
      <c r="AI86">
        <v>22</v>
      </c>
      <c r="AJ86">
        <v>23</v>
      </c>
      <c r="AK86">
        <v>111</v>
      </c>
      <c r="AL86" t="s">
        <v>448</v>
      </c>
      <c r="AM86" t="s">
        <v>449</v>
      </c>
      <c r="AN86" t="s">
        <v>450</v>
      </c>
      <c r="AO86" t="s">
        <v>2100</v>
      </c>
      <c r="AP86" t="s">
        <v>85</v>
      </c>
      <c r="AQ86" t="s">
        <v>85</v>
      </c>
      <c r="AR86" t="s">
        <v>2101</v>
      </c>
      <c r="AS86" t="s">
        <v>2102</v>
      </c>
      <c r="AT86" t="s">
        <v>200</v>
      </c>
      <c r="AU86" s="6">
        <v>2021</v>
      </c>
      <c r="AV86">
        <v>4</v>
      </c>
      <c r="AW86">
        <v>10</v>
      </c>
      <c r="AX86" t="s">
        <v>85</v>
      </c>
      <c r="AY86" t="s">
        <v>85</v>
      </c>
      <c r="AZ86" t="s">
        <v>85</v>
      </c>
      <c r="BA86" t="s">
        <v>85</v>
      </c>
      <c r="BB86">
        <v>851</v>
      </c>
      <c r="BC86" t="s">
        <v>2103</v>
      </c>
      <c r="BD86" t="s">
        <v>85</v>
      </c>
      <c r="BE86" t="s">
        <v>2104</v>
      </c>
      <c r="BF86" t="str">
        <f>HYPERLINK("http://dx.doi.org/10.1038/s41893-021-00751-1","http://dx.doi.org/10.1038/s41893-021-00751-1")</f>
        <v>http://dx.doi.org/10.1038/s41893-021-00751-1</v>
      </c>
      <c r="BG86" t="s">
        <v>85</v>
      </c>
      <c r="BH86" t="s">
        <v>2105</v>
      </c>
      <c r="BI86">
        <v>11</v>
      </c>
      <c r="BJ86" s="6" t="s">
        <v>170</v>
      </c>
      <c r="BK86" t="s">
        <v>171</v>
      </c>
      <c r="BL86" t="s">
        <v>172</v>
      </c>
      <c r="BM86" t="s">
        <v>2106</v>
      </c>
      <c r="BN86" t="s">
        <v>85</v>
      </c>
      <c r="BO86" t="s">
        <v>549</v>
      </c>
      <c r="BP86" t="s">
        <v>85</v>
      </c>
      <c r="BQ86" t="s">
        <v>85</v>
      </c>
      <c r="BR86" t="s">
        <v>116</v>
      </c>
      <c r="BS86" t="s">
        <v>2107</v>
      </c>
      <c r="BT86" t="str">
        <f>HYPERLINK("https%3A%2F%2Fwww.webofscience.com%2Fwos%2Fwoscc%2Ffull-record%2FWOS:000674538800001","View Full Record in Web of Science")</f>
        <v>View Full Record in Web of Science</v>
      </c>
      <c r="BW86" s="6" t="s">
        <v>149</v>
      </c>
      <c r="BX86" s="10" t="s">
        <v>2108</v>
      </c>
      <c r="BY86" s="10" t="s">
        <v>289</v>
      </c>
      <c r="BZ86" t="s">
        <v>2109</v>
      </c>
      <c r="CA86" s="10" t="s">
        <v>2110</v>
      </c>
      <c r="CB86" s="10" t="s">
        <v>122</v>
      </c>
      <c r="CC86" s="7" t="s">
        <v>1801</v>
      </c>
      <c r="CD86" s="7" t="s">
        <v>2111</v>
      </c>
      <c r="CE86" s="7" t="s">
        <v>211</v>
      </c>
      <c r="CF86" s="7" t="s">
        <v>2112</v>
      </c>
    </row>
    <row r="87" spans="1:84" ht="135">
      <c r="A87" t="s">
        <v>83</v>
      </c>
      <c r="B87" t="s">
        <v>2113</v>
      </c>
      <c r="C87" t="s">
        <v>85</v>
      </c>
      <c r="D87" t="s">
        <v>85</v>
      </c>
      <c r="E87" t="s">
        <v>85</v>
      </c>
      <c r="F87" t="s">
        <v>2114</v>
      </c>
      <c r="G87" t="s">
        <v>85</v>
      </c>
      <c r="H87" t="s">
        <v>85</v>
      </c>
      <c r="I87" s="5" t="s">
        <v>2115</v>
      </c>
      <c r="J87" t="s">
        <v>2116</v>
      </c>
      <c r="K87" t="s">
        <v>85</v>
      </c>
      <c r="L87" t="s">
        <v>85</v>
      </c>
      <c r="M87" t="s">
        <v>89</v>
      </c>
      <c r="N87" t="s">
        <v>90</v>
      </c>
      <c r="O87" t="s">
        <v>85</v>
      </c>
      <c r="P87" t="s">
        <v>85</v>
      </c>
      <c r="Q87" t="s">
        <v>85</v>
      </c>
      <c r="R87" t="s">
        <v>85</v>
      </c>
      <c r="S87" t="s">
        <v>85</v>
      </c>
      <c r="T87" t="s">
        <v>2117</v>
      </c>
      <c r="U87" t="s">
        <v>2118</v>
      </c>
      <c r="V87" s="5" t="s">
        <v>2119</v>
      </c>
      <c r="W87" t="s">
        <v>2120</v>
      </c>
      <c r="X87" t="s">
        <v>2121</v>
      </c>
      <c r="Y87" t="s">
        <v>2122</v>
      </c>
      <c r="Z87" t="s">
        <v>2123</v>
      </c>
      <c r="AA87" t="s">
        <v>85</v>
      </c>
      <c r="AB87" t="s">
        <v>85</v>
      </c>
      <c r="AC87" t="s">
        <v>2124</v>
      </c>
      <c r="AD87" t="s">
        <v>2125</v>
      </c>
      <c r="AE87" t="s">
        <v>2126</v>
      </c>
      <c r="AF87" t="s">
        <v>85</v>
      </c>
      <c r="AG87">
        <v>50</v>
      </c>
      <c r="AH87">
        <v>0</v>
      </c>
      <c r="AI87">
        <v>0</v>
      </c>
      <c r="AJ87">
        <v>0</v>
      </c>
      <c r="AK87">
        <v>6</v>
      </c>
      <c r="AL87" t="s">
        <v>193</v>
      </c>
      <c r="AM87" t="s">
        <v>194</v>
      </c>
      <c r="AN87" t="s">
        <v>195</v>
      </c>
      <c r="AO87" t="s">
        <v>2127</v>
      </c>
      <c r="AP87" t="s">
        <v>85</v>
      </c>
      <c r="AQ87" t="s">
        <v>85</v>
      </c>
      <c r="AR87" t="s">
        <v>2128</v>
      </c>
      <c r="AS87" t="s">
        <v>2129</v>
      </c>
      <c r="AT87" t="s">
        <v>108</v>
      </c>
      <c r="AU87" s="6">
        <v>2021</v>
      </c>
      <c r="AV87">
        <v>11</v>
      </c>
      <c r="AW87" t="s">
        <v>85</v>
      </c>
      <c r="AX87" t="s">
        <v>85</v>
      </c>
      <c r="AY87" t="s">
        <v>85</v>
      </c>
      <c r="AZ87" t="s">
        <v>85</v>
      </c>
      <c r="BA87" t="s">
        <v>85</v>
      </c>
      <c r="BB87" t="s">
        <v>85</v>
      </c>
      <c r="BC87" t="s">
        <v>85</v>
      </c>
      <c r="BD87">
        <v>100063</v>
      </c>
      <c r="BE87" t="s">
        <v>2130</v>
      </c>
      <c r="BF87" t="str">
        <f>HYPERLINK("http://dx.doi.org/10.1016/j.cacint.2021.100063","http://dx.doi.org/10.1016/j.cacint.2021.100063")</f>
        <v>http://dx.doi.org/10.1016/j.cacint.2021.100063</v>
      </c>
      <c r="BG87" t="s">
        <v>85</v>
      </c>
      <c r="BH87" t="s">
        <v>2105</v>
      </c>
      <c r="BI87">
        <v>11</v>
      </c>
      <c r="BJ87" s="6" t="s">
        <v>2131</v>
      </c>
      <c r="BK87" t="s">
        <v>1778</v>
      </c>
      <c r="BL87" t="s">
        <v>2132</v>
      </c>
      <c r="BM87" t="s">
        <v>2133</v>
      </c>
      <c r="BN87" t="s">
        <v>85</v>
      </c>
      <c r="BO87" t="s">
        <v>115</v>
      </c>
      <c r="BP87" t="s">
        <v>85</v>
      </c>
      <c r="BQ87" t="s">
        <v>85</v>
      </c>
      <c r="BR87" t="s">
        <v>116</v>
      </c>
      <c r="BS87" t="s">
        <v>2134</v>
      </c>
      <c r="BT87" t="str">
        <f>HYPERLINK("https%3A%2F%2Fwww.webofscience.com%2Fwos%2Fwoscc%2Ffull-record%2FWOS:000692830400002","View Full Record in Web of Science")</f>
        <v>View Full Record in Web of Science</v>
      </c>
    </row>
    <row r="88" spans="1:84" ht="180">
      <c r="A88" t="s">
        <v>83</v>
      </c>
      <c r="B88" t="s">
        <v>2135</v>
      </c>
      <c r="C88" t="s">
        <v>85</v>
      </c>
      <c r="D88" t="s">
        <v>85</v>
      </c>
      <c r="E88" t="s">
        <v>85</v>
      </c>
      <c r="F88" t="s">
        <v>2136</v>
      </c>
      <c r="G88" t="s">
        <v>85</v>
      </c>
      <c r="H88" t="s">
        <v>85</v>
      </c>
      <c r="I88" s="5" t="s">
        <v>2137</v>
      </c>
      <c r="J88" t="s">
        <v>793</v>
      </c>
      <c r="K88" t="s">
        <v>85</v>
      </c>
      <c r="L88" t="s">
        <v>85</v>
      </c>
      <c r="M88" t="s">
        <v>89</v>
      </c>
      <c r="N88" t="s">
        <v>90</v>
      </c>
      <c r="O88" t="s">
        <v>85</v>
      </c>
      <c r="P88" t="s">
        <v>85</v>
      </c>
      <c r="Q88" t="s">
        <v>85</v>
      </c>
      <c r="R88" t="s">
        <v>85</v>
      </c>
      <c r="S88" t="s">
        <v>85</v>
      </c>
      <c r="T88" t="s">
        <v>2138</v>
      </c>
      <c r="U88" t="s">
        <v>2139</v>
      </c>
      <c r="V88" s="5" t="s">
        <v>2140</v>
      </c>
      <c r="W88" t="s">
        <v>2141</v>
      </c>
      <c r="X88" t="s">
        <v>2074</v>
      </c>
      <c r="Y88" t="s">
        <v>2075</v>
      </c>
      <c r="Z88" t="s">
        <v>2033</v>
      </c>
      <c r="AA88" t="s">
        <v>85</v>
      </c>
      <c r="AB88" t="s">
        <v>2034</v>
      </c>
      <c r="AC88" t="s">
        <v>2142</v>
      </c>
      <c r="AD88" t="s">
        <v>2143</v>
      </c>
      <c r="AE88" t="s">
        <v>2144</v>
      </c>
      <c r="AF88" t="s">
        <v>85</v>
      </c>
      <c r="AG88">
        <v>78</v>
      </c>
      <c r="AH88">
        <v>8</v>
      </c>
      <c r="AI88">
        <v>9</v>
      </c>
      <c r="AJ88">
        <v>15</v>
      </c>
      <c r="AK88">
        <v>65</v>
      </c>
      <c r="AL88" t="s">
        <v>193</v>
      </c>
      <c r="AM88" t="s">
        <v>194</v>
      </c>
      <c r="AN88" t="s">
        <v>195</v>
      </c>
      <c r="AO88" t="s">
        <v>804</v>
      </c>
      <c r="AP88" t="s">
        <v>805</v>
      </c>
      <c r="AQ88" t="s">
        <v>85</v>
      </c>
      <c r="AR88" t="s">
        <v>806</v>
      </c>
      <c r="AS88" t="s">
        <v>807</v>
      </c>
      <c r="AT88" t="s">
        <v>941</v>
      </c>
      <c r="AU88" s="6">
        <v>2021</v>
      </c>
      <c r="AV88">
        <v>793</v>
      </c>
      <c r="AW88" t="s">
        <v>85</v>
      </c>
      <c r="AX88" t="s">
        <v>85</v>
      </c>
      <c r="AY88" t="s">
        <v>85</v>
      </c>
      <c r="AZ88" t="s">
        <v>85</v>
      </c>
      <c r="BA88" t="s">
        <v>85</v>
      </c>
      <c r="BB88" t="s">
        <v>85</v>
      </c>
      <c r="BC88" t="s">
        <v>85</v>
      </c>
      <c r="BD88">
        <v>148653</v>
      </c>
      <c r="BE88" t="s">
        <v>2145</v>
      </c>
      <c r="BF88" t="str">
        <f>HYPERLINK("http://dx.doi.org/10.1016/j.scitotenv.2021.148653","http://dx.doi.org/10.1016/j.scitotenv.2021.148653")</f>
        <v>http://dx.doi.org/10.1016/j.scitotenv.2021.148653</v>
      </c>
      <c r="BG88" t="s">
        <v>85</v>
      </c>
      <c r="BH88" t="s">
        <v>2146</v>
      </c>
      <c r="BI88">
        <v>8</v>
      </c>
      <c r="BJ88" s="6" t="s">
        <v>111</v>
      </c>
      <c r="BK88" t="s">
        <v>171</v>
      </c>
      <c r="BL88" t="s">
        <v>113</v>
      </c>
      <c r="BM88" t="s">
        <v>2147</v>
      </c>
      <c r="BN88">
        <v>34328965</v>
      </c>
      <c r="BO88" t="s">
        <v>2148</v>
      </c>
      <c r="BP88" t="s">
        <v>85</v>
      </c>
      <c r="BQ88" t="s">
        <v>85</v>
      </c>
      <c r="BR88" t="s">
        <v>116</v>
      </c>
      <c r="BS88" t="s">
        <v>2149</v>
      </c>
      <c r="BT88" t="str">
        <f>HYPERLINK("https%3A%2F%2Fwww.webofscience.com%2Fwos%2Fwoscc%2Ffull-record%2FWOS:000691668800004","View Full Record in Web of Science")</f>
        <v>View Full Record in Web of Science</v>
      </c>
      <c r="BW88" s="6" t="s">
        <v>149</v>
      </c>
      <c r="BX88" s="10" t="s">
        <v>2150</v>
      </c>
      <c r="BY88" s="10" t="s">
        <v>151</v>
      </c>
      <c r="CA88" s="10" t="s">
        <v>2151</v>
      </c>
      <c r="CB88" s="10" t="s">
        <v>1802</v>
      </c>
      <c r="CC88" s="7" t="s">
        <v>2084</v>
      </c>
      <c r="CD88" s="7" t="s">
        <v>622</v>
      </c>
      <c r="CE88" s="7" t="s">
        <v>554</v>
      </c>
      <c r="CF88" s="7" t="s">
        <v>2048</v>
      </c>
    </row>
    <row r="89" spans="1:84" ht="240">
      <c r="A89" t="s">
        <v>83</v>
      </c>
      <c r="B89" t="s">
        <v>2152</v>
      </c>
      <c r="C89" t="s">
        <v>85</v>
      </c>
      <c r="D89" t="s">
        <v>85</v>
      </c>
      <c r="E89" t="s">
        <v>85</v>
      </c>
      <c r="F89" t="s">
        <v>2153</v>
      </c>
      <c r="G89" t="s">
        <v>85</v>
      </c>
      <c r="H89" t="s">
        <v>85</v>
      </c>
      <c r="I89" s="5" t="s">
        <v>2154</v>
      </c>
      <c r="J89" t="s">
        <v>874</v>
      </c>
      <c r="K89" t="s">
        <v>85</v>
      </c>
      <c r="L89" t="s">
        <v>85</v>
      </c>
      <c r="M89" t="s">
        <v>89</v>
      </c>
      <c r="N89" t="s">
        <v>90</v>
      </c>
      <c r="O89" t="s">
        <v>85</v>
      </c>
      <c r="P89" t="s">
        <v>85</v>
      </c>
      <c r="Q89" t="s">
        <v>85</v>
      </c>
      <c r="R89" t="s">
        <v>85</v>
      </c>
      <c r="S89" t="s">
        <v>85</v>
      </c>
      <c r="T89" t="s">
        <v>2155</v>
      </c>
      <c r="U89" t="s">
        <v>2156</v>
      </c>
      <c r="V89" s="5" t="s">
        <v>2157</v>
      </c>
      <c r="W89" t="s">
        <v>2158</v>
      </c>
      <c r="X89" t="s">
        <v>2159</v>
      </c>
      <c r="Y89" t="s">
        <v>2160</v>
      </c>
      <c r="Z89" t="s">
        <v>2161</v>
      </c>
      <c r="AA89" t="s">
        <v>2162</v>
      </c>
      <c r="AB89" t="s">
        <v>2163</v>
      </c>
      <c r="AC89" t="s">
        <v>2164</v>
      </c>
      <c r="AD89" t="s">
        <v>2164</v>
      </c>
      <c r="AE89" t="s">
        <v>2165</v>
      </c>
      <c r="AF89" t="s">
        <v>85</v>
      </c>
      <c r="AG89">
        <v>93</v>
      </c>
      <c r="AH89">
        <v>16</v>
      </c>
      <c r="AI89">
        <v>16</v>
      </c>
      <c r="AJ89">
        <v>1</v>
      </c>
      <c r="AK89">
        <v>44</v>
      </c>
      <c r="AL89" t="s">
        <v>137</v>
      </c>
      <c r="AM89" t="s">
        <v>138</v>
      </c>
      <c r="AN89" t="s">
        <v>139</v>
      </c>
      <c r="AO89" t="s">
        <v>85</v>
      </c>
      <c r="AP89" t="s">
        <v>884</v>
      </c>
      <c r="AQ89" t="s">
        <v>85</v>
      </c>
      <c r="AR89" t="s">
        <v>885</v>
      </c>
      <c r="AS89" t="s">
        <v>886</v>
      </c>
      <c r="AT89" t="s">
        <v>252</v>
      </c>
      <c r="AU89" s="6">
        <v>2021</v>
      </c>
      <c r="AV89">
        <v>18</v>
      </c>
      <c r="AW89">
        <v>12</v>
      </c>
      <c r="AX89" t="s">
        <v>85</v>
      </c>
      <c r="AY89" t="s">
        <v>85</v>
      </c>
      <c r="AZ89" t="s">
        <v>85</v>
      </c>
      <c r="BA89" t="s">
        <v>85</v>
      </c>
      <c r="BB89" t="s">
        <v>85</v>
      </c>
      <c r="BC89" t="s">
        <v>85</v>
      </c>
      <c r="BD89">
        <v>6636</v>
      </c>
      <c r="BE89" t="s">
        <v>2166</v>
      </c>
      <c r="BF89" t="str">
        <f>HYPERLINK("http://dx.doi.org/10.3390/ijerph18126636","http://dx.doi.org/10.3390/ijerph18126636")</f>
        <v>http://dx.doi.org/10.3390/ijerph18126636</v>
      </c>
      <c r="BG89" t="s">
        <v>85</v>
      </c>
      <c r="BH89" t="s">
        <v>85</v>
      </c>
      <c r="BI89">
        <v>17</v>
      </c>
      <c r="BJ89" s="6" t="s">
        <v>889</v>
      </c>
      <c r="BK89" t="s">
        <v>171</v>
      </c>
      <c r="BL89" t="s">
        <v>890</v>
      </c>
      <c r="BM89" t="s">
        <v>2167</v>
      </c>
      <c r="BN89">
        <v>34203108</v>
      </c>
      <c r="BO89" t="s">
        <v>1120</v>
      </c>
      <c r="BP89" t="s">
        <v>85</v>
      </c>
      <c r="BQ89" t="s">
        <v>85</v>
      </c>
      <c r="BR89" t="s">
        <v>116</v>
      </c>
      <c r="BS89" t="s">
        <v>2168</v>
      </c>
      <c r="BT89" t="str">
        <f>HYPERLINK("https%3A%2F%2Fwww.webofscience.com%2Fwos%2Fwoscc%2Ffull-record%2FWOS:000666129900001","View Full Record in Web of Science")</f>
        <v>View Full Record in Web of Science</v>
      </c>
      <c r="BW89" s="6" t="s">
        <v>491</v>
      </c>
      <c r="BX89" s="10" t="s">
        <v>2169</v>
      </c>
      <c r="CA89" s="10" t="s">
        <v>2170</v>
      </c>
      <c r="CB89" s="10" t="s">
        <v>1802</v>
      </c>
      <c r="CC89" s="7" t="s">
        <v>2084</v>
      </c>
      <c r="CD89" s="7" t="s">
        <v>622</v>
      </c>
      <c r="CE89" s="7" t="s">
        <v>554</v>
      </c>
      <c r="CF89" s="7" t="s">
        <v>575</v>
      </c>
    </row>
    <row r="90" spans="1:84" ht="165">
      <c r="A90" t="s">
        <v>83</v>
      </c>
      <c r="B90" t="s">
        <v>2171</v>
      </c>
      <c r="C90" t="s">
        <v>85</v>
      </c>
      <c r="D90" t="s">
        <v>85</v>
      </c>
      <c r="E90" t="s">
        <v>85</v>
      </c>
      <c r="F90" t="s">
        <v>2172</v>
      </c>
      <c r="G90" t="s">
        <v>85</v>
      </c>
      <c r="H90" t="s">
        <v>85</v>
      </c>
      <c r="I90" s="5" t="s">
        <v>2173</v>
      </c>
      <c r="J90" t="s">
        <v>2174</v>
      </c>
      <c r="K90" t="s">
        <v>85</v>
      </c>
      <c r="L90" t="s">
        <v>85</v>
      </c>
      <c r="M90" t="s">
        <v>89</v>
      </c>
      <c r="N90" t="s">
        <v>90</v>
      </c>
      <c r="O90" t="s">
        <v>85</v>
      </c>
      <c r="P90" t="s">
        <v>85</v>
      </c>
      <c r="Q90" t="s">
        <v>85</v>
      </c>
      <c r="R90" t="s">
        <v>85</v>
      </c>
      <c r="S90" t="s">
        <v>85</v>
      </c>
      <c r="T90" t="s">
        <v>2175</v>
      </c>
      <c r="U90" t="s">
        <v>2176</v>
      </c>
      <c r="V90" s="5" t="s">
        <v>2177</v>
      </c>
      <c r="W90" t="s">
        <v>2178</v>
      </c>
      <c r="X90" t="s">
        <v>2179</v>
      </c>
      <c r="Y90" t="s">
        <v>2180</v>
      </c>
      <c r="Z90" t="s">
        <v>2181</v>
      </c>
      <c r="AA90" t="s">
        <v>85</v>
      </c>
      <c r="AB90" t="s">
        <v>85</v>
      </c>
      <c r="AC90" t="s">
        <v>2182</v>
      </c>
      <c r="AD90" t="s">
        <v>2183</v>
      </c>
      <c r="AE90" t="s">
        <v>2184</v>
      </c>
      <c r="AF90" t="s">
        <v>85</v>
      </c>
      <c r="AG90">
        <v>94</v>
      </c>
      <c r="AH90">
        <v>11</v>
      </c>
      <c r="AI90">
        <v>11</v>
      </c>
      <c r="AJ90">
        <v>7</v>
      </c>
      <c r="AK90">
        <v>30</v>
      </c>
      <c r="AL90" t="s">
        <v>193</v>
      </c>
      <c r="AM90" t="s">
        <v>194</v>
      </c>
      <c r="AN90" t="s">
        <v>195</v>
      </c>
      <c r="AO90" t="s">
        <v>2185</v>
      </c>
      <c r="AP90" t="s">
        <v>85</v>
      </c>
      <c r="AQ90" t="s">
        <v>85</v>
      </c>
      <c r="AR90" t="s">
        <v>2186</v>
      </c>
      <c r="AS90" t="s">
        <v>2187</v>
      </c>
      <c r="AT90" t="s">
        <v>252</v>
      </c>
      <c r="AU90" s="6">
        <v>2021</v>
      </c>
      <c r="AV90">
        <v>49</v>
      </c>
      <c r="AW90" t="s">
        <v>85</v>
      </c>
      <c r="AX90" t="s">
        <v>85</v>
      </c>
      <c r="AY90" t="s">
        <v>85</v>
      </c>
      <c r="AZ90" t="s">
        <v>85</v>
      </c>
      <c r="BA90" t="s">
        <v>85</v>
      </c>
      <c r="BB90" t="s">
        <v>85</v>
      </c>
      <c r="BC90" t="s">
        <v>85</v>
      </c>
      <c r="BD90">
        <v>101268</v>
      </c>
      <c r="BE90" t="s">
        <v>2188</v>
      </c>
      <c r="BF90" t="str">
        <f>HYPERLINK("http://dx.doi.org/10.1016/j.ecoser.2021.101268","http://dx.doi.org/10.1016/j.ecoser.2021.101268")</f>
        <v>http://dx.doi.org/10.1016/j.ecoser.2021.101268</v>
      </c>
      <c r="BG90" t="s">
        <v>85</v>
      </c>
      <c r="BH90" t="s">
        <v>2189</v>
      </c>
      <c r="BI90">
        <v>21</v>
      </c>
      <c r="BJ90" s="6" t="s">
        <v>2190</v>
      </c>
      <c r="BK90" t="s">
        <v>171</v>
      </c>
      <c r="BL90" t="s">
        <v>113</v>
      </c>
      <c r="BM90" t="s">
        <v>2191</v>
      </c>
      <c r="BN90" t="s">
        <v>85</v>
      </c>
      <c r="BO90" t="s">
        <v>2192</v>
      </c>
      <c r="BP90" t="s">
        <v>85</v>
      </c>
      <c r="BQ90" t="s">
        <v>85</v>
      </c>
      <c r="BR90" t="s">
        <v>116</v>
      </c>
      <c r="BS90" t="s">
        <v>2193</v>
      </c>
      <c r="BT90" t="str">
        <f>HYPERLINK("https%3A%2F%2Fwww.webofscience.com%2Fwos%2Fwoscc%2Ffull-record%2FWOS:000663762100007","View Full Record in Web of Science")</f>
        <v>View Full Record in Web of Science</v>
      </c>
      <c r="BW90" s="6" t="s">
        <v>149</v>
      </c>
      <c r="BX90" s="10" t="s">
        <v>2194</v>
      </c>
      <c r="BY90" s="10" t="s">
        <v>289</v>
      </c>
      <c r="CA90" s="10" t="s">
        <v>1123</v>
      </c>
      <c r="CB90" s="10" t="s">
        <v>1802</v>
      </c>
      <c r="CC90" s="7" t="s">
        <v>2084</v>
      </c>
      <c r="CD90" s="7" t="s">
        <v>622</v>
      </c>
      <c r="CE90" s="7" t="s">
        <v>554</v>
      </c>
      <c r="CF90" s="7" t="s">
        <v>241</v>
      </c>
    </row>
    <row r="91" spans="1:84" ht="210">
      <c r="A91" t="s">
        <v>83</v>
      </c>
      <c r="B91" t="s">
        <v>2195</v>
      </c>
      <c r="C91" t="s">
        <v>85</v>
      </c>
      <c r="D91" t="s">
        <v>85</v>
      </c>
      <c r="E91" t="s">
        <v>85</v>
      </c>
      <c r="F91" t="s">
        <v>2196</v>
      </c>
      <c r="G91" t="s">
        <v>85</v>
      </c>
      <c r="H91" t="s">
        <v>85</v>
      </c>
      <c r="I91" s="5" t="s">
        <v>2197</v>
      </c>
      <c r="J91" t="s">
        <v>2198</v>
      </c>
      <c r="K91" t="s">
        <v>85</v>
      </c>
      <c r="L91" t="s">
        <v>85</v>
      </c>
      <c r="M91" t="s">
        <v>89</v>
      </c>
      <c r="N91" t="s">
        <v>90</v>
      </c>
      <c r="O91" t="s">
        <v>85</v>
      </c>
      <c r="P91" t="s">
        <v>85</v>
      </c>
      <c r="Q91" t="s">
        <v>85</v>
      </c>
      <c r="R91" t="s">
        <v>85</v>
      </c>
      <c r="S91" t="s">
        <v>85</v>
      </c>
      <c r="T91" t="s">
        <v>2199</v>
      </c>
      <c r="U91" t="s">
        <v>2200</v>
      </c>
      <c r="V91" s="5" t="s">
        <v>2201</v>
      </c>
      <c r="W91" t="s">
        <v>2202</v>
      </c>
      <c r="X91" t="s">
        <v>2203</v>
      </c>
      <c r="Y91" t="s">
        <v>2204</v>
      </c>
      <c r="Z91" t="s">
        <v>2205</v>
      </c>
      <c r="AA91" t="s">
        <v>85</v>
      </c>
      <c r="AB91" t="s">
        <v>85</v>
      </c>
      <c r="AC91" t="s">
        <v>2206</v>
      </c>
      <c r="AD91" t="s">
        <v>2207</v>
      </c>
      <c r="AE91" t="s">
        <v>2208</v>
      </c>
      <c r="AF91" t="s">
        <v>85</v>
      </c>
      <c r="AG91">
        <v>53</v>
      </c>
      <c r="AH91">
        <v>11</v>
      </c>
      <c r="AI91">
        <v>11</v>
      </c>
      <c r="AJ91">
        <v>19</v>
      </c>
      <c r="AK91">
        <v>93</v>
      </c>
      <c r="AL91" t="s">
        <v>225</v>
      </c>
      <c r="AM91" t="s">
        <v>226</v>
      </c>
      <c r="AN91" t="s">
        <v>227</v>
      </c>
      <c r="AO91" t="s">
        <v>85</v>
      </c>
      <c r="AP91" t="s">
        <v>2209</v>
      </c>
      <c r="AQ91" t="s">
        <v>85</v>
      </c>
      <c r="AR91" t="s">
        <v>2210</v>
      </c>
      <c r="AS91" t="s">
        <v>2211</v>
      </c>
      <c r="AT91" t="s">
        <v>2212</v>
      </c>
      <c r="AU91" s="6">
        <v>2021</v>
      </c>
      <c r="AV91">
        <v>9</v>
      </c>
      <c r="AW91" t="s">
        <v>85</v>
      </c>
      <c r="AX91" t="s">
        <v>85</v>
      </c>
      <c r="AY91" t="s">
        <v>85</v>
      </c>
      <c r="AZ91" t="s">
        <v>85</v>
      </c>
      <c r="BA91" t="s">
        <v>85</v>
      </c>
      <c r="BB91" t="s">
        <v>85</v>
      </c>
      <c r="BC91" t="s">
        <v>85</v>
      </c>
      <c r="BD91">
        <v>696626</v>
      </c>
      <c r="BE91" t="s">
        <v>2213</v>
      </c>
      <c r="BF91" t="str">
        <f>HYPERLINK("http://dx.doi.org/10.3389/fenvs.2021.696626","http://dx.doi.org/10.3389/fenvs.2021.696626")</f>
        <v>http://dx.doi.org/10.3389/fenvs.2021.696626</v>
      </c>
      <c r="BG91" t="s">
        <v>85</v>
      </c>
      <c r="BH91" t="s">
        <v>85</v>
      </c>
      <c r="BI91">
        <v>15</v>
      </c>
      <c r="BJ91" s="6" t="s">
        <v>111</v>
      </c>
      <c r="BK91" t="s">
        <v>171</v>
      </c>
      <c r="BL91" t="s">
        <v>113</v>
      </c>
      <c r="BM91" t="s">
        <v>2214</v>
      </c>
      <c r="BN91" t="s">
        <v>85</v>
      </c>
      <c r="BO91" t="s">
        <v>115</v>
      </c>
      <c r="BP91" t="s">
        <v>85</v>
      </c>
      <c r="BQ91" t="s">
        <v>85</v>
      </c>
      <c r="BR91" t="s">
        <v>116</v>
      </c>
      <c r="BS91" t="s">
        <v>2215</v>
      </c>
      <c r="BT91" t="str">
        <f>HYPERLINK("https%3A%2F%2Fwww.webofscience.com%2Fwos%2Fwoscc%2Ffull-record%2FWOS:000657277100001","View Full Record in Web of Science")</f>
        <v>View Full Record in Web of Science</v>
      </c>
      <c r="BW91" s="6" t="s">
        <v>491</v>
      </c>
      <c r="BX91" s="10" t="s">
        <v>2216</v>
      </c>
      <c r="BY91" s="10" t="s">
        <v>289</v>
      </c>
      <c r="CB91" s="10" t="s">
        <v>1802</v>
      </c>
      <c r="CC91" s="7" t="s">
        <v>2084</v>
      </c>
      <c r="CD91" s="7" t="s">
        <v>1144</v>
      </c>
      <c r="CE91" s="7" t="s">
        <v>554</v>
      </c>
      <c r="CF91" s="7" t="s">
        <v>154</v>
      </c>
    </row>
    <row r="92" spans="1:84" ht="150">
      <c r="A92" t="s">
        <v>83</v>
      </c>
      <c r="B92" t="s">
        <v>2217</v>
      </c>
      <c r="C92" t="s">
        <v>85</v>
      </c>
      <c r="D92" t="s">
        <v>85</v>
      </c>
      <c r="E92" t="s">
        <v>85</v>
      </c>
      <c r="F92" t="s">
        <v>2218</v>
      </c>
      <c r="G92" t="s">
        <v>85</v>
      </c>
      <c r="H92" t="s">
        <v>85</v>
      </c>
      <c r="I92" s="5" t="s">
        <v>2219</v>
      </c>
      <c r="J92" t="s">
        <v>264</v>
      </c>
      <c r="K92" t="s">
        <v>85</v>
      </c>
      <c r="L92" t="s">
        <v>85</v>
      </c>
      <c r="M92" t="s">
        <v>89</v>
      </c>
      <c r="N92" t="s">
        <v>90</v>
      </c>
      <c r="O92" t="s">
        <v>85</v>
      </c>
      <c r="P92" t="s">
        <v>85</v>
      </c>
      <c r="Q92" t="s">
        <v>85</v>
      </c>
      <c r="R92" t="s">
        <v>85</v>
      </c>
      <c r="S92" t="s">
        <v>85</v>
      </c>
      <c r="T92" t="s">
        <v>2220</v>
      </c>
      <c r="U92" t="s">
        <v>2221</v>
      </c>
      <c r="V92" s="5" t="s">
        <v>2222</v>
      </c>
      <c r="W92" t="s">
        <v>2223</v>
      </c>
      <c r="X92" t="s">
        <v>2224</v>
      </c>
      <c r="Y92" t="s">
        <v>2225</v>
      </c>
      <c r="Z92" t="s">
        <v>2226</v>
      </c>
      <c r="AA92" t="s">
        <v>85</v>
      </c>
      <c r="AB92" t="s">
        <v>2227</v>
      </c>
      <c r="AC92" t="s">
        <v>85</v>
      </c>
      <c r="AD92" t="s">
        <v>85</v>
      </c>
      <c r="AE92" t="s">
        <v>85</v>
      </c>
      <c r="AF92" t="s">
        <v>85</v>
      </c>
      <c r="AG92">
        <v>68</v>
      </c>
      <c r="AH92">
        <v>9</v>
      </c>
      <c r="AI92">
        <v>11</v>
      </c>
      <c r="AJ92">
        <v>7</v>
      </c>
      <c r="AK92">
        <v>36</v>
      </c>
      <c r="AL92" t="s">
        <v>275</v>
      </c>
      <c r="AM92" t="s">
        <v>276</v>
      </c>
      <c r="AN92" t="s">
        <v>277</v>
      </c>
      <c r="AO92" t="s">
        <v>278</v>
      </c>
      <c r="AP92" t="s">
        <v>279</v>
      </c>
      <c r="AQ92" t="s">
        <v>85</v>
      </c>
      <c r="AR92" t="s">
        <v>280</v>
      </c>
      <c r="AS92" t="s">
        <v>281</v>
      </c>
      <c r="AT92" t="s">
        <v>143</v>
      </c>
      <c r="AU92" s="6">
        <v>2021</v>
      </c>
      <c r="AV92">
        <v>62</v>
      </c>
      <c r="AW92" t="s">
        <v>85</v>
      </c>
      <c r="AX92" t="s">
        <v>85</v>
      </c>
      <c r="AY92" t="s">
        <v>85</v>
      </c>
      <c r="AZ92" t="s">
        <v>85</v>
      </c>
      <c r="BA92" t="s">
        <v>85</v>
      </c>
      <c r="BB92" t="s">
        <v>85</v>
      </c>
      <c r="BC92" t="s">
        <v>85</v>
      </c>
      <c r="BD92">
        <v>127167</v>
      </c>
      <c r="BE92" t="s">
        <v>2228</v>
      </c>
      <c r="BF92" t="str">
        <f>HYPERLINK("http://dx.doi.org/10.1016/j.ufug.2021.127167","http://dx.doi.org/10.1016/j.ufug.2021.127167")</f>
        <v>http://dx.doi.org/10.1016/j.ufug.2021.127167</v>
      </c>
      <c r="BG92" t="s">
        <v>85</v>
      </c>
      <c r="BH92" t="s">
        <v>2189</v>
      </c>
      <c r="BI92">
        <v>17</v>
      </c>
      <c r="BJ92" s="6" t="s">
        <v>284</v>
      </c>
      <c r="BK92" t="s">
        <v>171</v>
      </c>
      <c r="BL92" t="s">
        <v>285</v>
      </c>
      <c r="BM92" t="s">
        <v>2229</v>
      </c>
      <c r="BN92" t="s">
        <v>85</v>
      </c>
      <c r="BO92" t="s">
        <v>206</v>
      </c>
      <c r="BP92" t="s">
        <v>85</v>
      </c>
      <c r="BQ92" t="s">
        <v>85</v>
      </c>
      <c r="BR92" t="s">
        <v>116</v>
      </c>
      <c r="BS92" t="s">
        <v>2230</v>
      </c>
      <c r="BT92" t="str">
        <f>HYPERLINK("https%3A%2F%2Fwww.webofscience.com%2Fwos%2Fwoscc%2Ffull-record%2FWOS:000663727400003","View Full Record in Web of Science")</f>
        <v>View Full Record in Web of Science</v>
      </c>
      <c r="BW92" s="6" t="s">
        <v>365</v>
      </c>
      <c r="BX92" s="10" t="s">
        <v>2231</v>
      </c>
      <c r="BY92" s="10" t="s">
        <v>289</v>
      </c>
      <c r="CB92" s="10" t="s">
        <v>1802</v>
      </c>
      <c r="CC92" s="7" t="s">
        <v>2084</v>
      </c>
      <c r="CD92" s="7" t="s">
        <v>622</v>
      </c>
      <c r="CE92" s="7" t="s">
        <v>554</v>
      </c>
      <c r="CF92" s="7" t="s">
        <v>290</v>
      </c>
    </row>
    <row r="93" spans="1:84" ht="165">
      <c r="A93" t="s">
        <v>83</v>
      </c>
      <c r="B93" t="s">
        <v>2232</v>
      </c>
      <c r="C93" t="s">
        <v>85</v>
      </c>
      <c r="D93" t="s">
        <v>85</v>
      </c>
      <c r="E93" t="s">
        <v>85</v>
      </c>
      <c r="F93" t="s">
        <v>2233</v>
      </c>
      <c r="G93" t="s">
        <v>85</v>
      </c>
      <c r="H93" t="s">
        <v>85</v>
      </c>
      <c r="I93" s="5" t="s">
        <v>2234</v>
      </c>
      <c r="J93" t="s">
        <v>2235</v>
      </c>
      <c r="K93" t="s">
        <v>85</v>
      </c>
      <c r="L93" t="s">
        <v>85</v>
      </c>
      <c r="M93" t="s">
        <v>89</v>
      </c>
      <c r="N93" t="s">
        <v>90</v>
      </c>
      <c r="O93" t="s">
        <v>85</v>
      </c>
      <c r="P93" t="s">
        <v>85</v>
      </c>
      <c r="Q93" t="s">
        <v>85</v>
      </c>
      <c r="R93" t="s">
        <v>85</v>
      </c>
      <c r="S93" t="s">
        <v>85</v>
      </c>
      <c r="T93" t="s">
        <v>2236</v>
      </c>
      <c r="U93" t="s">
        <v>2237</v>
      </c>
      <c r="V93" s="5" t="s">
        <v>2238</v>
      </c>
      <c r="W93" t="s">
        <v>2239</v>
      </c>
      <c r="X93" t="s">
        <v>2240</v>
      </c>
      <c r="Y93" t="s">
        <v>2241</v>
      </c>
      <c r="Z93" t="s">
        <v>2242</v>
      </c>
      <c r="AA93" t="s">
        <v>85</v>
      </c>
      <c r="AB93" t="s">
        <v>85</v>
      </c>
      <c r="AC93" t="s">
        <v>2243</v>
      </c>
      <c r="AD93" t="s">
        <v>2244</v>
      </c>
      <c r="AE93" t="s">
        <v>2245</v>
      </c>
      <c r="AF93" t="s">
        <v>85</v>
      </c>
      <c r="AG93">
        <v>61</v>
      </c>
      <c r="AH93">
        <v>1</v>
      </c>
      <c r="AI93">
        <v>1</v>
      </c>
      <c r="AJ93">
        <v>4</v>
      </c>
      <c r="AK93">
        <v>40</v>
      </c>
      <c r="AL93" t="s">
        <v>225</v>
      </c>
      <c r="AM93" t="s">
        <v>226</v>
      </c>
      <c r="AN93" t="s">
        <v>227</v>
      </c>
      <c r="AO93" t="s">
        <v>85</v>
      </c>
      <c r="AP93" t="s">
        <v>2246</v>
      </c>
      <c r="AQ93" t="s">
        <v>85</v>
      </c>
      <c r="AR93" t="s">
        <v>2247</v>
      </c>
      <c r="AS93" t="s">
        <v>2248</v>
      </c>
      <c r="AT93" t="s">
        <v>2249</v>
      </c>
      <c r="AU93" s="6">
        <v>2021</v>
      </c>
      <c r="AV93">
        <v>7</v>
      </c>
      <c r="AW93" t="s">
        <v>85</v>
      </c>
      <c r="AX93" t="s">
        <v>85</v>
      </c>
      <c r="AY93" t="s">
        <v>85</v>
      </c>
      <c r="AZ93" t="s">
        <v>85</v>
      </c>
      <c r="BA93" t="s">
        <v>85</v>
      </c>
      <c r="BB93" t="s">
        <v>85</v>
      </c>
      <c r="BC93" t="s">
        <v>85</v>
      </c>
      <c r="BD93">
        <v>664442</v>
      </c>
      <c r="BE93" t="s">
        <v>2250</v>
      </c>
      <c r="BF93" t="str">
        <f>HYPERLINK("http://dx.doi.org/10.3389/fbuil.2021.664442","http://dx.doi.org/10.3389/fbuil.2021.664442")</f>
        <v>http://dx.doi.org/10.3389/fbuil.2021.664442</v>
      </c>
      <c r="BG93" t="s">
        <v>85</v>
      </c>
      <c r="BH93" t="s">
        <v>85</v>
      </c>
      <c r="BI93">
        <v>10</v>
      </c>
      <c r="BJ93" s="6" t="s">
        <v>2251</v>
      </c>
      <c r="BK93" t="s">
        <v>1778</v>
      </c>
      <c r="BL93" t="s">
        <v>2252</v>
      </c>
      <c r="BM93" t="s">
        <v>2253</v>
      </c>
      <c r="BN93" t="s">
        <v>85</v>
      </c>
      <c r="BO93" t="s">
        <v>115</v>
      </c>
      <c r="BP93" t="s">
        <v>85</v>
      </c>
      <c r="BQ93" t="s">
        <v>85</v>
      </c>
      <c r="BR93" t="s">
        <v>116</v>
      </c>
      <c r="BS93" t="s">
        <v>2254</v>
      </c>
      <c r="BT93" t="str">
        <f>HYPERLINK("https%3A%2F%2Fwww.webofscience.com%2Fwos%2Fwoscc%2Ffull-record%2FWOS:000650980700001","View Full Record in Web of Science")</f>
        <v>View Full Record in Web of Science</v>
      </c>
      <c r="BW93" s="6" t="s">
        <v>149</v>
      </c>
      <c r="BX93" s="10" t="s">
        <v>2255</v>
      </c>
      <c r="BY93" s="10" t="s">
        <v>151</v>
      </c>
      <c r="CA93" s="10" t="s">
        <v>2256</v>
      </c>
      <c r="CB93" s="10" t="s">
        <v>1802</v>
      </c>
      <c r="CC93" s="7" t="s">
        <v>2084</v>
      </c>
      <c r="CD93" s="7" t="s">
        <v>622</v>
      </c>
      <c r="CE93" s="7" t="s">
        <v>554</v>
      </c>
      <c r="CF93" s="7" t="s">
        <v>154</v>
      </c>
    </row>
    <row r="94" spans="1:84" ht="180">
      <c r="A94" t="s">
        <v>83</v>
      </c>
      <c r="B94" t="s">
        <v>2257</v>
      </c>
      <c r="C94" t="s">
        <v>85</v>
      </c>
      <c r="D94" t="s">
        <v>85</v>
      </c>
      <c r="E94" t="s">
        <v>85</v>
      </c>
      <c r="F94" t="s">
        <v>2258</v>
      </c>
      <c r="G94" t="s">
        <v>85</v>
      </c>
      <c r="H94" t="s">
        <v>85</v>
      </c>
      <c r="I94" s="5" t="s">
        <v>2259</v>
      </c>
      <c r="J94" t="s">
        <v>793</v>
      </c>
      <c r="K94" t="s">
        <v>85</v>
      </c>
      <c r="L94" t="s">
        <v>85</v>
      </c>
      <c r="M94" t="s">
        <v>89</v>
      </c>
      <c r="N94" t="s">
        <v>90</v>
      </c>
      <c r="O94" t="s">
        <v>85</v>
      </c>
      <c r="P94" t="s">
        <v>85</v>
      </c>
      <c r="Q94" t="s">
        <v>85</v>
      </c>
      <c r="R94" t="s">
        <v>85</v>
      </c>
      <c r="S94" t="s">
        <v>85</v>
      </c>
      <c r="T94" t="s">
        <v>2260</v>
      </c>
      <c r="U94" t="s">
        <v>2261</v>
      </c>
      <c r="V94" s="5" t="s">
        <v>2262</v>
      </c>
      <c r="W94" t="s">
        <v>2263</v>
      </c>
      <c r="X94" t="s">
        <v>2264</v>
      </c>
      <c r="Y94" t="s">
        <v>2265</v>
      </c>
      <c r="Z94" t="s">
        <v>2266</v>
      </c>
      <c r="AA94" t="s">
        <v>2267</v>
      </c>
      <c r="AB94" t="s">
        <v>2268</v>
      </c>
      <c r="AC94" t="s">
        <v>2269</v>
      </c>
      <c r="AD94" t="s">
        <v>2270</v>
      </c>
      <c r="AE94" t="s">
        <v>2271</v>
      </c>
      <c r="AF94" t="s">
        <v>85</v>
      </c>
      <c r="AG94">
        <v>86</v>
      </c>
      <c r="AH94">
        <v>11</v>
      </c>
      <c r="AI94">
        <v>11</v>
      </c>
      <c r="AJ94">
        <v>15</v>
      </c>
      <c r="AK94">
        <v>81</v>
      </c>
      <c r="AL94" t="s">
        <v>193</v>
      </c>
      <c r="AM94" t="s">
        <v>194</v>
      </c>
      <c r="AN94" t="s">
        <v>195</v>
      </c>
      <c r="AO94" t="s">
        <v>804</v>
      </c>
      <c r="AP94" t="s">
        <v>805</v>
      </c>
      <c r="AQ94" t="s">
        <v>85</v>
      </c>
      <c r="AR94" t="s">
        <v>806</v>
      </c>
      <c r="AS94" t="s">
        <v>807</v>
      </c>
      <c r="AT94" t="s">
        <v>2272</v>
      </c>
      <c r="AU94" s="6">
        <v>2021</v>
      </c>
      <c r="AV94">
        <v>785</v>
      </c>
      <c r="AW94" t="s">
        <v>85</v>
      </c>
      <c r="AX94" t="s">
        <v>85</v>
      </c>
      <c r="AY94" t="s">
        <v>85</v>
      </c>
      <c r="AZ94" t="s">
        <v>85</v>
      </c>
      <c r="BA94" t="s">
        <v>85</v>
      </c>
      <c r="BB94" t="s">
        <v>85</v>
      </c>
      <c r="BC94" t="s">
        <v>85</v>
      </c>
      <c r="BD94">
        <v>147238</v>
      </c>
      <c r="BE94" t="s">
        <v>2273</v>
      </c>
      <c r="BF94" t="str">
        <f>HYPERLINK("http://dx.doi.org/10.1016/j.scitotenv.2021.147238","http://dx.doi.org/10.1016/j.scitotenv.2021.147238")</f>
        <v>http://dx.doi.org/10.1016/j.scitotenv.2021.147238</v>
      </c>
      <c r="BG94" t="s">
        <v>85</v>
      </c>
      <c r="BH94" t="s">
        <v>2274</v>
      </c>
      <c r="BI94">
        <v>12</v>
      </c>
      <c r="BJ94" s="6" t="s">
        <v>111</v>
      </c>
      <c r="BK94" t="s">
        <v>171</v>
      </c>
      <c r="BL94" t="s">
        <v>113</v>
      </c>
      <c r="BM94" t="s">
        <v>2275</v>
      </c>
      <c r="BN94">
        <v>33940421</v>
      </c>
      <c r="BO94" t="s">
        <v>2276</v>
      </c>
      <c r="BP94" t="s">
        <v>85</v>
      </c>
      <c r="BQ94" t="s">
        <v>85</v>
      </c>
      <c r="BR94" t="s">
        <v>116</v>
      </c>
      <c r="BS94" t="s">
        <v>2277</v>
      </c>
      <c r="BT94" t="str">
        <f>HYPERLINK("https%3A%2F%2Fwww.webofscience.com%2Fwos%2Fwoscc%2Ffull-record%2FWOS:000659455600002","View Full Record in Web of Science")</f>
        <v>View Full Record in Web of Science</v>
      </c>
    </row>
    <row r="95" spans="1:84" s="21" customFormat="1" ht="30">
      <c r="A95" s="21" t="s">
        <v>83</v>
      </c>
      <c r="B95" s="21" t="s">
        <v>2278</v>
      </c>
      <c r="C95" s="21" t="s">
        <v>85</v>
      </c>
      <c r="D95" s="21" t="s">
        <v>85</v>
      </c>
      <c r="E95" s="21" t="s">
        <v>85</v>
      </c>
      <c r="F95" s="21" t="s">
        <v>2279</v>
      </c>
      <c r="G95" s="21" t="s">
        <v>85</v>
      </c>
      <c r="H95" s="21" t="s">
        <v>85</v>
      </c>
      <c r="I95" s="22" t="s">
        <v>2280</v>
      </c>
      <c r="J95" s="21" t="s">
        <v>437</v>
      </c>
      <c r="K95" s="21" t="s">
        <v>85</v>
      </c>
      <c r="L95" s="21" t="s">
        <v>85</v>
      </c>
      <c r="M95" s="21" t="s">
        <v>89</v>
      </c>
      <c r="N95" s="21" t="s">
        <v>90</v>
      </c>
      <c r="O95" s="21" t="s">
        <v>85</v>
      </c>
      <c r="P95" s="21" t="s">
        <v>85</v>
      </c>
      <c r="Q95" s="21" t="s">
        <v>85</v>
      </c>
      <c r="R95" s="21" t="s">
        <v>85</v>
      </c>
      <c r="S95" s="21" t="s">
        <v>85</v>
      </c>
      <c r="T95" s="21" t="s">
        <v>85</v>
      </c>
      <c r="U95" s="21" t="s">
        <v>2281</v>
      </c>
      <c r="V95" s="22" t="s">
        <v>2282</v>
      </c>
      <c r="W95" s="21" t="s">
        <v>2283</v>
      </c>
      <c r="X95" s="21" t="s">
        <v>2284</v>
      </c>
      <c r="Y95" s="21" t="s">
        <v>2285</v>
      </c>
      <c r="Z95" s="21" t="s">
        <v>2286</v>
      </c>
      <c r="AA95" s="21" t="s">
        <v>2287</v>
      </c>
      <c r="AB95" s="21" t="s">
        <v>2288</v>
      </c>
      <c r="AC95" s="21" t="s">
        <v>2289</v>
      </c>
      <c r="AD95" s="21" t="s">
        <v>2290</v>
      </c>
      <c r="AE95" s="21" t="s">
        <v>2291</v>
      </c>
      <c r="AF95" s="21" t="s">
        <v>85</v>
      </c>
      <c r="AG95" s="21">
        <v>60</v>
      </c>
      <c r="AH95" s="21">
        <v>95</v>
      </c>
      <c r="AI95" s="21">
        <v>97</v>
      </c>
      <c r="AJ95" s="21">
        <v>41</v>
      </c>
      <c r="AK95" s="21">
        <v>145</v>
      </c>
      <c r="AL95" s="21" t="s">
        <v>448</v>
      </c>
      <c r="AM95" s="21" t="s">
        <v>449</v>
      </c>
      <c r="AN95" s="21" t="s">
        <v>450</v>
      </c>
      <c r="AO95" s="21" t="s">
        <v>451</v>
      </c>
      <c r="AP95" s="21" t="s">
        <v>85</v>
      </c>
      <c r="AQ95" s="21" t="s">
        <v>85</v>
      </c>
      <c r="AR95" s="21" t="s">
        <v>452</v>
      </c>
      <c r="AS95" s="21" t="s">
        <v>453</v>
      </c>
      <c r="AT95" s="21" t="s">
        <v>2292</v>
      </c>
      <c r="AU95" s="23">
        <v>2021</v>
      </c>
      <c r="AV95" s="21">
        <v>11</v>
      </c>
      <c r="AW95" s="21">
        <v>1</v>
      </c>
      <c r="AX95" s="21" t="s">
        <v>85</v>
      </c>
      <c r="AY95" s="21" t="s">
        <v>85</v>
      </c>
      <c r="AZ95" s="21" t="s">
        <v>85</v>
      </c>
      <c r="BA95" s="21" t="s">
        <v>85</v>
      </c>
      <c r="BB95" s="21" t="s">
        <v>85</v>
      </c>
      <c r="BC95" s="21" t="s">
        <v>85</v>
      </c>
      <c r="BD95" s="21">
        <v>8903</v>
      </c>
      <c r="BE95" s="21" t="s">
        <v>2293</v>
      </c>
      <c r="BF95" s="21" t="str">
        <f>HYPERLINK("http://dx.doi.org/10.1038/s41598-021-87675-0","http://dx.doi.org/10.1038/s41598-021-87675-0")</f>
        <v>http://dx.doi.org/10.1038/s41598-021-87675-0</v>
      </c>
      <c r="BG95" s="21" t="s">
        <v>85</v>
      </c>
      <c r="BH95" s="21" t="s">
        <v>85</v>
      </c>
      <c r="BI95" s="21">
        <v>12</v>
      </c>
      <c r="BJ95" s="23" t="s">
        <v>456</v>
      </c>
      <c r="BK95" s="21" t="s">
        <v>171</v>
      </c>
      <c r="BL95" s="21" t="s">
        <v>457</v>
      </c>
      <c r="BM95" s="21" t="s">
        <v>2294</v>
      </c>
      <c r="BN95" s="21">
        <v>33903601</v>
      </c>
      <c r="BO95" s="21" t="s">
        <v>236</v>
      </c>
      <c r="BP95" s="21" t="s">
        <v>1552</v>
      </c>
      <c r="BQ95" s="21" t="s">
        <v>1553</v>
      </c>
      <c r="BR95" s="21" t="s">
        <v>116</v>
      </c>
      <c r="BS95" s="21" t="s">
        <v>2295</v>
      </c>
      <c r="BT95" s="21" t="str">
        <f>HYPERLINK("https%3A%2F%2Fwww.webofscience.com%2Fwos%2Fwoscc%2Ffull-record%2FWOS:000647142600022","View Full Record in Web of Science")</f>
        <v>View Full Record in Web of Science</v>
      </c>
      <c r="BW95" s="23" t="s">
        <v>149</v>
      </c>
      <c r="BX95" s="24" t="s">
        <v>2296</v>
      </c>
      <c r="BY95" s="24" t="s">
        <v>151</v>
      </c>
      <c r="CA95" s="24"/>
      <c r="CB95" s="24"/>
      <c r="CF95" s="24" t="s">
        <v>2297</v>
      </c>
    </row>
    <row r="96" spans="1:84" ht="225">
      <c r="A96" t="s">
        <v>83</v>
      </c>
      <c r="B96" t="s">
        <v>2298</v>
      </c>
      <c r="C96" t="s">
        <v>85</v>
      </c>
      <c r="D96" t="s">
        <v>85</v>
      </c>
      <c r="E96" t="s">
        <v>85</v>
      </c>
      <c r="F96" t="s">
        <v>2299</v>
      </c>
      <c r="G96" t="s">
        <v>85</v>
      </c>
      <c r="H96" t="s">
        <v>85</v>
      </c>
      <c r="I96" s="5" t="s">
        <v>2300</v>
      </c>
      <c r="J96" t="s">
        <v>2301</v>
      </c>
      <c r="K96" t="s">
        <v>85</v>
      </c>
      <c r="L96" t="s">
        <v>85</v>
      </c>
      <c r="M96" t="s">
        <v>89</v>
      </c>
      <c r="N96" t="s">
        <v>90</v>
      </c>
      <c r="O96" t="s">
        <v>85</v>
      </c>
      <c r="P96" t="s">
        <v>85</v>
      </c>
      <c r="Q96" t="s">
        <v>85</v>
      </c>
      <c r="R96" t="s">
        <v>85</v>
      </c>
      <c r="S96" t="s">
        <v>85</v>
      </c>
      <c r="T96" t="s">
        <v>2302</v>
      </c>
      <c r="U96" t="s">
        <v>2303</v>
      </c>
      <c r="V96" s="5" t="s">
        <v>2304</v>
      </c>
      <c r="W96" t="s">
        <v>2305</v>
      </c>
      <c r="X96" t="s">
        <v>2306</v>
      </c>
      <c r="Y96" t="s">
        <v>2307</v>
      </c>
      <c r="Z96" t="s">
        <v>2308</v>
      </c>
      <c r="AA96" t="s">
        <v>2309</v>
      </c>
      <c r="AB96" t="s">
        <v>2310</v>
      </c>
      <c r="AC96" t="s">
        <v>2311</v>
      </c>
      <c r="AD96" t="s">
        <v>2312</v>
      </c>
      <c r="AE96" t="s">
        <v>2313</v>
      </c>
      <c r="AF96" t="s">
        <v>85</v>
      </c>
      <c r="AG96">
        <v>66</v>
      </c>
      <c r="AH96">
        <v>13</v>
      </c>
      <c r="AI96">
        <v>14</v>
      </c>
      <c r="AJ96">
        <v>16</v>
      </c>
      <c r="AK96">
        <v>90</v>
      </c>
      <c r="AL96" t="s">
        <v>680</v>
      </c>
      <c r="AM96" t="s">
        <v>102</v>
      </c>
      <c r="AN96" t="s">
        <v>681</v>
      </c>
      <c r="AO96" t="s">
        <v>2314</v>
      </c>
      <c r="AP96" t="s">
        <v>2315</v>
      </c>
      <c r="AQ96" t="s">
        <v>85</v>
      </c>
      <c r="AR96" t="s">
        <v>2316</v>
      </c>
      <c r="AS96" t="s">
        <v>2317</v>
      </c>
      <c r="AT96" t="s">
        <v>2318</v>
      </c>
      <c r="AU96" s="6">
        <v>2021</v>
      </c>
      <c r="AV96">
        <v>304</v>
      </c>
      <c r="AW96" t="s">
        <v>85</v>
      </c>
      <c r="AX96" t="s">
        <v>85</v>
      </c>
      <c r="AY96" t="s">
        <v>85</v>
      </c>
      <c r="AZ96" t="s">
        <v>85</v>
      </c>
      <c r="BA96" t="s">
        <v>85</v>
      </c>
      <c r="BB96" t="s">
        <v>85</v>
      </c>
      <c r="BC96" t="s">
        <v>85</v>
      </c>
      <c r="BD96">
        <v>127100</v>
      </c>
      <c r="BE96" t="s">
        <v>2319</v>
      </c>
      <c r="BF96" t="str">
        <f>HYPERLINK("http://dx.doi.org/10.1016/j.jclepro.2021.127100","http://dx.doi.org/10.1016/j.jclepro.2021.127100")</f>
        <v>http://dx.doi.org/10.1016/j.jclepro.2021.127100</v>
      </c>
      <c r="BG96" t="s">
        <v>85</v>
      </c>
      <c r="BH96" t="s">
        <v>2274</v>
      </c>
      <c r="BI96">
        <v>9</v>
      </c>
      <c r="BJ96" s="6" t="s">
        <v>2320</v>
      </c>
      <c r="BK96" t="s">
        <v>171</v>
      </c>
      <c r="BL96" t="s">
        <v>2321</v>
      </c>
      <c r="BM96" t="s">
        <v>2322</v>
      </c>
      <c r="BN96" t="s">
        <v>85</v>
      </c>
      <c r="BO96" t="s">
        <v>2323</v>
      </c>
      <c r="BP96" t="s">
        <v>85</v>
      </c>
      <c r="BQ96" t="s">
        <v>85</v>
      </c>
      <c r="BR96" t="s">
        <v>116</v>
      </c>
      <c r="BS96" t="s">
        <v>2324</v>
      </c>
      <c r="BT96" t="str">
        <f>HYPERLINK("https%3A%2F%2Fwww.webofscience.com%2Fwos%2Fwoscc%2Ffull-record%2FWOS:000655684600006","View Full Record in Web of Science")</f>
        <v>View Full Record in Web of Science</v>
      </c>
      <c r="BW96" s="6" t="s">
        <v>149</v>
      </c>
      <c r="BX96" s="10" t="s">
        <v>2325</v>
      </c>
      <c r="BY96" s="10" t="s">
        <v>289</v>
      </c>
      <c r="CA96" s="10" t="s">
        <v>2326</v>
      </c>
      <c r="CB96" s="10" t="s">
        <v>1802</v>
      </c>
      <c r="CC96" s="7" t="s">
        <v>2084</v>
      </c>
      <c r="CD96" s="7" t="s">
        <v>622</v>
      </c>
      <c r="CE96" s="7" t="s">
        <v>554</v>
      </c>
      <c r="CF96" s="7" t="s">
        <v>154</v>
      </c>
    </row>
    <row r="97" spans="1:84" ht="210">
      <c r="A97" t="s">
        <v>83</v>
      </c>
      <c r="B97" t="s">
        <v>2327</v>
      </c>
      <c r="C97" t="s">
        <v>85</v>
      </c>
      <c r="D97" t="s">
        <v>85</v>
      </c>
      <c r="E97" t="s">
        <v>85</v>
      </c>
      <c r="F97" t="s">
        <v>2328</v>
      </c>
      <c r="G97" t="s">
        <v>85</v>
      </c>
      <c r="H97" t="s">
        <v>85</v>
      </c>
      <c r="I97" s="5" t="s">
        <v>2329</v>
      </c>
      <c r="J97" t="s">
        <v>2330</v>
      </c>
      <c r="K97" t="s">
        <v>85</v>
      </c>
      <c r="L97" t="s">
        <v>85</v>
      </c>
      <c r="M97" t="s">
        <v>89</v>
      </c>
      <c r="N97" t="s">
        <v>90</v>
      </c>
      <c r="O97" t="s">
        <v>85</v>
      </c>
      <c r="P97" t="s">
        <v>85</v>
      </c>
      <c r="Q97" t="s">
        <v>85</v>
      </c>
      <c r="R97" t="s">
        <v>85</v>
      </c>
      <c r="S97" t="s">
        <v>85</v>
      </c>
      <c r="T97" t="s">
        <v>2331</v>
      </c>
      <c r="U97" t="s">
        <v>2332</v>
      </c>
      <c r="V97" s="5" t="s">
        <v>2333</v>
      </c>
      <c r="W97" t="s">
        <v>2334</v>
      </c>
      <c r="X97" t="s">
        <v>2335</v>
      </c>
      <c r="Y97" t="s">
        <v>2336</v>
      </c>
      <c r="Z97" t="s">
        <v>2337</v>
      </c>
      <c r="AA97" t="s">
        <v>2338</v>
      </c>
      <c r="AB97" t="s">
        <v>2339</v>
      </c>
      <c r="AC97" t="s">
        <v>2340</v>
      </c>
      <c r="AD97" t="s">
        <v>2340</v>
      </c>
      <c r="AE97" t="s">
        <v>2341</v>
      </c>
      <c r="AF97" t="s">
        <v>85</v>
      </c>
      <c r="AG97">
        <v>109</v>
      </c>
      <c r="AH97">
        <v>20</v>
      </c>
      <c r="AI97">
        <v>20</v>
      </c>
      <c r="AJ97">
        <v>3</v>
      </c>
      <c r="AK97">
        <v>23</v>
      </c>
      <c r="AL97" t="s">
        <v>2342</v>
      </c>
      <c r="AM97" t="s">
        <v>609</v>
      </c>
      <c r="AN97" t="s">
        <v>2343</v>
      </c>
      <c r="AO97" t="s">
        <v>2344</v>
      </c>
      <c r="AP97" t="s">
        <v>85</v>
      </c>
      <c r="AQ97" t="s">
        <v>85</v>
      </c>
      <c r="AR97" t="s">
        <v>2345</v>
      </c>
      <c r="AS97" t="s">
        <v>2346</v>
      </c>
      <c r="AT97" t="s">
        <v>2347</v>
      </c>
      <c r="AU97" s="6">
        <v>2021</v>
      </c>
      <c r="AV97">
        <v>20</v>
      </c>
      <c r="AW97">
        <v>1</v>
      </c>
      <c r="AX97" t="s">
        <v>85</v>
      </c>
      <c r="AY97" t="s">
        <v>85</v>
      </c>
      <c r="AZ97" t="s">
        <v>85</v>
      </c>
      <c r="BA97" t="s">
        <v>85</v>
      </c>
      <c r="BB97" t="s">
        <v>85</v>
      </c>
      <c r="BC97" t="s">
        <v>85</v>
      </c>
      <c r="BD97">
        <v>16</v>
      </c>
      <c r="BE97" t="s">
        <v>2348</v>
      </c>
      <c r="BF97" t="str">
        <f>HYPERLINK("http://dx.doi.org/10.1186/s12942-021-00269-x","http://dx.doi.org/10.1186/s12942-021-00269-x")</f>
        <v>http://dx.doi.org/10.1186/s12942-021-00269-x</v>
      </c>
      <c r="BG97" t="s">
        <v>85</v>
      </c>
      <c r="BH97" t="s">
        <v>85</v>
      </c>
      <c r="BI97">
        <v>20</v>
      </c>
      <c r="BJ97" s="6" t="s">
        <v>616</v>
      </c>
      <c r="BK97" t="s">
        <v>171</v>
      </c>
      <c r="BL97" t="s">
        <v>616</v>
      </c>
      <c r="BM97" t="s">
        <v>2349</v>
      </c>
      <c r="BN97">
        <v>33823853</v>
      </c>
      <c r="BO97" t="s">
        <v>236</v>
      </c>
      <c r="BP97" t="s">
        <v>85</v>
      </c>
      <c r="BQ97" t="s">
        <v>85</v>
      </c>
      <c r="BR97" t="s">
        <v>116</v>
      </c>
      <c r="BS97" t="s">
        <v>2350</v>
      </c>
      <c r="BT97" t="str">
        <f>HYPERLINK("https%3A%2F%2Fwww.webofscience.com%2Fwos%2Fwoscc%2Ffull-record%2FWOS:000637505000001","View Full Record in Web of Science")</f>
        <v>View Full Record in Web of Science</v>
      </c>
      <c r="BW97" s="6" t="s">
        <v>365</v>
      </c>
      <c r="BX97" s="10" t="s">
        <v>2351</v>
      </c>
      <c r="BY97" s="10" t="s">
        <v>289</v>
      </c>
      <c r="CA97" s="10" t="s">
        <v>2352</v>
      </c>
      <c r="CB97" s="10" t="s">
        <v>1802</v>
      </c>
      <c r="CC97" s="7" t="s">
        <v>2084</v>
      </c>
      <c r="CD97" s="7" t="s">
        <v>2353</v>
      </c>
      <c r="CE97" s="7" t="s">
        <v>554</v>
      </c>
      <c r="CF97" s="7" t="s">
        <v>2354</v>
      </c>
    </row>
    <row r="98" spans="1:84" ht="165">
      <c r="A98" t="s">
        <v>83</v>
      </c>
      <c r="B98" t="s">
        <v>2355</v>
      </c>
      <c r="C98" t="s">
        <v>85</v>
      </c>
      <c r="D98" t="s">
        <v>85</v>
      </c>
      <c r="E98" t="s">
        <v>85</v>
      </c>
      <c r="F98" t="s">
        <v>2356</v>
      </c>
      <c r="G98" t="s">
        <v>85</v>
      </c>
      <c r="H98" t="s">
        <v>85</v>
      </c>
      <c r="I98" s="5" t="s">
        <v>2357</v>
      </c>
      <c r="J98" t="s">
        <v>158</v>
      </c>
      <c r="K98" t="s">
        <v>85</v>
      </c>
      <c r="L98" t="s">
        <v>85</v>
      </c>
      <c r="M98" t="s">
        <v>89</v>
      </c>
      <c r="N98" t="s">
        <v>90</v>
      </c>
      <c r="O98" t="s">
        <v>85</v>
      </c>
      <c r="P98" t="s">
        <v>85</v>
      </c>
      <c r="Q98" t="s">
        <v>85</v>
      </c>
      <c r="R98" t="s">
        <v>85</v>
      </c>
      <c r="S98" t="s">
        <v>85</v>
      </c>
      <c r="T98" t="s">
        <v>2358</v>
      </c>
      <c r="U98" t="s">
        <v>2359</v>
      </c>
      <c r="V98" s="5" t="s">
        <v>2360</v>
      </c>
      <c r="W98" t="s">
        <v>2361</v>
      </c>
      <c r="X98" t="s">
        <v>2362</v>
      </c>
      <c r="Y98" t="s">
        <v>2363</v>
      </c>
      <c r="Z98" t="s">
        <v>2364</v>
      </c>
      <c r="AA98" t="s">
        <v>2365</v>
      </c>
      <c r="AB98" t="s">
        <v>2366</v>
      </c>
      <c r="AC98" t="s">
        <v>2367</v>
      </c>
      <c r="AD98" t="s">
        <v>2368</v>
      </c>
      <c r="AE98" t="s">
        <v>2369</v>
      </c>
      <c r="AF98" t="s">
        <v>85</v>
      </c>
      <c r="AG98">
        <v>59</v>
      </c>
      <c r="AH98">
        <v>29</v>
      </c>
      <c r="AI98">
        <v>29</v>
      </c>
      <c r="AJ98">
        <v>7</v>
      </c>
      <c r="AK98">
        <v>62</v>
      </c>
      <c r="AL98" t="s">
        <v>137</v>
      </c>
      <c r="AM98" t="s">
        <v>138</v>
      </c>
      <c r="AN98" t="s">
        <v>139</v>
      </c>
      <c r="AO98" t="s">
        <v>85</v>
      </c>
      <c r="AP98" t="s">
        <v>166</v>
      </c>
      <c r="AQ98" t="s">
        <v>85</v>
      </c>
      <c r="AR98" t="s">
        <v>167</v>
      </c>
      <c r="AS98" t="s">
        <v>168</v>
      </c>
      <c r="AT98" t="s">
        <v>513</v>
      </c>
      <c r="AU98" s="6">
        <v>2021</v>
      </c>
      <c r="AV98">
        <v>13</v>
      </c>
      <c r="AW98">
        <v>8</v>
      </c>
      <c r="AX98" t="s">
        <v>85</v>
      </c>
      <c r="AY98" t="s">
        <v>85</v>
      </c>
      <c r="AZ98" t="s">
        <v>85</v>
      </c>
      <c r="BA98" t="s">
        <v>85</v>
      </c>
      <c r="BB98" t="s">
        <v>85</v>
      </c>
      <c r="BC98" t="s">
        <v>85</v>
      </c>
      <c r="BD98">
        <v>4148</v>
      </c>
      <c r="BE98" t="s">
        <v>2370</v>
      </c>
      <c r="BF98" t="str">
        <f>HYPERLINK("http://dx.doi.org/10.3390/su13084148","http://dx.doi.org/10.3390/su13084148")</f>
        <v>http://dx.doi.org/10.3390/su13084148</v>
      </c>
      <c r="BG98" t="s">
        <v>85</v>
      </c>
      <c r="BH98" t="s">
        <v>85</v>
      </c>
      <c r="BI98">
        <v>24</v>
      </c>
      <c r="BJ98" s="6" t="s">
        <v>170</v>
      </c>
      <c r="BK98" t="s">
        <v>171</v>
      </c>
      <c r="BL98" t="s">
        <v>172</v>
      </c>
      <c r="BM98" t="s">
        <v>2371</v>
      </c>
      <c r="BN98" t="s">
        <v>85</v>
      </c>
      <c r="BO98" t="s">
        <v>2372</v>
      </c>
      <c r="BP98" t="s">
        <v>85</v>
      </c>
      <c r="BQ98" t="s">
        <v>85</v>
      </c>
      <c r="BR98" t="s">
        <v>116</v>
      </c>
      <c r="BS98" t="s">
        <v>2373</v>
      </c>
      <c r="BT98" t="str">
        <f>HYPERLINK("https%3A%2F%2Fwww.webofscience.com%2Fwos%2Fwoscc%2Ffull-record%2FWOS:000645358000001","View Full Record in Web of Science")</f>
        <v>View Full Record in Web of Science</v>
      </c>
      <c r="BW98" s="6" t="s">
        <v>149</v>
      </c>
      <c r="BX98" s="10" t="s">
        <v>2374</v>
      </c>
      <c r="BY98" s="10" t="s">
        <v>151</v>
      </c>
      <c r="CA98" s="10" t="s">
        <v>2375</v>
      </c>
      <c r="CB98" s="10" t="s">
        <v>1802</v>
      </c>
      <c r="CC98" s="7" t="s">
        <v>2084</v>
      </c>
      <c r="CD98" s="7" t="s">
        <v>2376</v>
      </c>
      <c r="CE98" s="7" t="s">
        <v>554</v>
      </c>
      <c r="CF98" s="7" t="s">
        <v>2377</v>
      </c>
    </row>
    <row r="99" spans="1:84" ht="255">
      <c r="A99" t="s">
        <v>83</v>
      </c>
      <c r="B99" t="s">
        <v>2378</v>
      </c>
      <c r="C99" t="s">
        <v>85</v>
      </c>
      <c r="D99" t="s">
        <v>85</v>
      </c>
      <c r="E99" t="s">
        <v>85</v>
      </c>
      <c r="F99" t="s">
        <v>2379</v>
      </c>
      <c r="G99" t="s">
        <v>85</v>
      </c>
      <c r="H99" t="s">
        <v>85</v>
      </c>
      <c r="I99" s="5" t="s">
        <v>2380</v>
      </c>
      <c r="J99" t="s">
        <v>2381</v>
      </c>
      <c r="K99" t="s">
        <v>85</v>
      </c>
      <c r="L99" t="s">
        <v>85</v>
      </c>
      <c r="M99" t="s">
        <v>89</v>
      </c>
      <c r="N99" t="s">
        <v>90</v>
      </c>
      <c r="O99" t="s">
        <v>85</v>
      </c>
      <c r="P99" t="s">
        <v>85</v>
      </c>
      <c r="Q99" t="s">
        <v>85</v>
      </c>
      <c r="R99" t="s">
        <v>85</v>
      </c>
      <c r="S99" t="s">
        <v>85</v>
      </c>
      <c r="T99" t="s">
        <v>2382</v>
      </c>
      <c r="U99" t="s">
        <v>2383</v>
      </c>
      <c r="V99" s="5" t="s">
        <v>2384</v>
      </c>
      <c r="W99" t="s">
        <v>2385</v>
      </c>
      <c r="X99" t="s">
        <v>2386</v>
      </c>
      <c r="Y99" t="s">
        <v>2387</v>
      </c>
      <c r="Z99" t="s">
        <v>2388</v>
      </c>
      <c r="AA99" t="s">
        <v>2389</v>
      </c>
      <c r="AB99" t="s">
        <v>2390</v>
      </c>
      <c r="AC99" t="s">
        <v>2391</v>
      </c>
      <c r="AD99" t="s">
        <v>2392</v>
      </c>
      <c r="AE99" t="s">
        <v>2393</v>
      </c>
      <c r="AF99" t="s">
        <v>85</v>
      </c>
      <c r="AG99">
        <v>98</v>
      </c>
      <c r="AH99">
        <v>25</v>
      </c>
      <c r="AI99">
        <v>25</v>
      </c>
      <c r="AJ99">
        <v>10</v>
      </c>
      <c r="AK99">
        <v>64</v>
      </c>
      <c r="AL99" t="s">
        <v>2342</v>
      </c>
      <c r="AM99" t="s">
        <v>609</v>
      </c>
      <c r="AN99" t="s">
        <v>2343</v>
      </c>
      <c r="AO99" t="s">
        <v>85</v>
      </c>
      <c r="AP99" t="s">
        <v>2394</v>
      </c>
      <c r="AQ99" t="s">
        <v>85</v>
      </c>
      <c r="AR99" t="s">
        <v>2381</v>
      </c>
      <c r="AS99" t="s">
        <v>2395</v>
      </c>
      <c r="AT99" t="s">
        <v>2396</v>
      </c>
      <c r="AU99" s="6">
        <v>2021</v>
      </c>
      <c r="AV99">
        <v>21</v>
      </c>
      <c r="AW99">
        <v>1</v>
      </c>
      <c r="AX99" t="s">
        <v>85</v>
      </c>
      <c r="AY99" t="s">
        <v>85</v>
      </c>
      <c r="AZ99" t="s">
        <v>85</v>
      </c>
      <c r="BA99" t="s">
        <v>85</v>
      </c>
      <c r="BB99" t="s">
        <v>85</v>
      </c>
      <c r="BC99" t="s">
        <v>85</v>
      </c>
      <c r="BD99">
        <v>635</v>
      </c>
      <c r="BE99" t="s">
        <v>2397</v>
      </c>
      <c r="BF99" t="str">
        <f>HYPERLINK("http://dx.doi.org/10.1186/s12889-021-10557-7","http://dx.doi.org/10.1186/s12889-021-10557-7")</f>
        <v>http://dx.doi.org/10.1186/s12889-021-10557-7</v>
      </c>
      <c r="BG99" t="s">
        <v>85</v>
      </c>
      <c r="BH99" t="s">
        <v>85</v>
      </c>
      <c r="BI99">
        <v>18</v>
      </c>
      <c r="BJ99" s="6" t="s">
        <v>616</v>
      </c>
      <c r="BK99" t="s">
        <v>171</v>
      </c>
      <c r="BL99" t="s">
        <v>616</v>
      </c>
      <c r="BM99" t="s">
        <v>2398</v>
      </c>
      <c r="BN99">
        <v>33794817</v>
      </c>
      <c r="BO99" t="s">
        <v>236</v>
      </c>
      <c r="BP99" t="s">
        <v>85</v>
      </c>
      <c r="BQ99" t="s">
        <v>85</v>
      </c>
      <c r="BR99" t="s">
        <v>116</v>
      </c>
      <c r="BS99" t="s">
        <v>2399</v>
      </c>
      <c r="BT99" t="str">
        <f>HYPERLINK("https%3A%2F%2Fwww.webofscience.com%2Fwos%2Fwoscc%2Ffull-record%2FWOS:000636776100003","View Full Record in Web of Science")</f>
        <v>View Full Record in Web of Science</v>
      </c>
      <c r="BW99" s="6" t="s">
        <v>365</v>
      </c>
      <c r="BX99" s="10" t="s">
        <v>2400</v>
      </c>
      <c r="BY99" s="10" t="s">
        <v>289</v>
      </c>
      <c r="CA99" s="10" t="s">
        <v>2401</v>
      </c>
      <c r="CB99" s="10" t="s">
        <v>1802</v>
      </c>
      <c r="CC99" s="7" t="s">
        <v>2084</v>
      </c>
      <c r="CD99" s="7" t="s">
        <v>2353</v>
      </c>
      <c r="CE99" s="7" t="s">
        <v>554</v>
      </c>
      <c r="CF99" s="7" t="s">
        <v>1517</v>
      </c>
    </row>
    <row r="100" spans="1:84" ht="210">
      <c r="A100" t="s">
        <v>83</v>
      </c>
      <c r="B100" t="s">
        <v>2402</v>
      </c>
      <c r="C100" t="s">
        <v>85</v>
      </c>
      <c r="D100" t="s">
        <v>85</v>
      </c>
      <c r="E100" t="s">
        <v>85</v>
      </c>
      <c r="F100" t="s">
        <v>2403</v>
      </c>
      <c r="G100" t="s">
        <v>85</v>
      </c>
      <c r="H100" t="s">
        <v>85</v>
      </c>
      <c r="I100" s="5" t="s">
        <v>2404</v>
      </c>
      <c r="J100" t="s">
        <v>312</v>
      </c>
      <c r="K100" t="s">
        <v>85</v>
      </c>
      <c r="L100" t="s">
        <v>85</v>
      </c>
      <c r="M100" t="s">
        <v>89</v>
      </c>
      <c r="N100" t="s">
        <v>90</v>
      </c>
      <c r="O100" t="s">
        <v>85</v>
      </c>
      <c r="P100" t="s">
        <v>85</v>
      </c>
      <c r="Q100" t="s">
        <v>85</v>
      </c>
      <c r="R100" t="s">
        <v>85</v>
      </c>
      <c r="S100" t="s">
        <v>85</v>
      </c>
      <c r="T100" t="s">
        <v>2405</v>
      </c>
      <c r="U100" t="s">
        <v>85</v>
      </c>
      <c r="V100" s="5" t="s">
        <v>2406</v>
      </c>
      <c r="W100" t="s">
        <v>2407</v>
      </c>
      <c r="X100" t="s">
        <v>2408</v>
      </c>
      <c r="Y100" t="s">
        <v>2409</v>
      </c>
      <c r="Z100" t="s">
        <v>2410</v>
      </c>
      <c r="AA100" t="s">
        <v>2411</v>
      </c>
      <c r="AB100" t="s">
        <v>2412</v>
      </c>
      <c r="AC100" t="s">
        <v>2413</v>
      </c>
      <c r="AD100" t="s">
        <v>2414</v>
      </c>
      <c r="AE100" t="s">
        <v>2415</v>
      </c>
      <c r="AF100" t="s">
        <v>85</v>
      </c>
      <c r="AG100">
        <v>62</v>
      </c>
      <c r="AH100">
        <v>20</v>
      </c>
      <c r="AI100">
        <v>20</v>
      </c>
      <c r="AJ100">
        <v>13</v>
      </c>
      <c r="AK100">
        <v>211</v>
      </c>
      <c r="AL100" t="s">
        <v>193</v>
      </c>
      <c r="AM100" t="s">
        <v>194</v>
      </c>
      <c r="AN100" t="s">
        <v>195</v>
      </c>
      <c r="AO100" t="s">
        <v>325</v>
      </c>
      <c r="AP100" t="s">
        <v>326</v>
      </c>
      <c r="AQ100" t="s">
        <v>85</v>
      </c>
      <c r="AR100" t="s">
        <v>327</v>
      </c>
      <c r="AS100" t="s">
        <v>328</v>
      </c>
      <c r="AT100" t="s">
        <v>513</v>
      </c>
      <c r="AU100" s="6">
        <v>2021</v>
      </c>
      <c r="AV100">
        <v>208</v>
      </c>
      <c r="AW100" t="s">
        <v>85</v>
      </c>
      <c r="AX100" t="s">
        <v>85</v>
      </c>
      <c r="AY100" t="s">
        <v>85</v>
      </c>
      <c r="AZ100" t="s">
        <v>85</v>
      </c>
      <c r="BA100" t="s">
        <v>85</v>
      </c>
      <c r="BB100" t="s">
        <v>85</v>
      </c>
      <c r="BC100" t="s">
        <v>85</v>
      </c>
      <c r="BD100">
        <v>104019</v>
      </c>
      <c r="BE100" t="s">
        <v>2416</v>
      </c>
      <c r="BF100" t="str">
        <f>HYPERLINK("http://dx.doi.org/10.1016/j.landurbplan.2020.104019","http://dx.doi.org/10.1016/j.landurbplan.2020.104019")</f>
        <v>http://dx.doi.org/10.1016/j.landurbplan.2020.104019</v>
      </c>
      <c r="BG100" t="s">
        <v>85</v>
      </c>
      <c r="BH100" t="s">
        <v>85</v>
      </c>
      <c r="BI100">
        <v>11</v>
      </c>
      <c r="BJ100" s="6" t="s">
        <v>331</v>
      </c>
      <c r="BK100" t="s">
        <v>171</v>
      </c>
      <c r="BL100" t="s">
        <v>332</v>
      </c>
      <c r="BM100" t="s">
        <v>2417</v>
      </c>
      <c r="BN100" t="s">
        <v>85</v>
      </c>
      <c r="BO100" t="s">
        <v>427</v>
      </c>
      <c r="BP100" t="s">
        <v>85</v>
      </c>
      <c r="BQ100" t="s">
        <v>85</v>
      </c>
      <c r="BR100" t="s">
        <v>116</v>
      </c>
      <c r="BS100" t="s">
        <v>2418</v>
      </c>
      <c r="BT100" t="str">
        <f>HYPERLINK("https%3A%2F%2Fwww.webofscience.com%2Fwos%2Fwoscc%2Ffull-record%2FWOS:000614249100002","View Full Record in Web of Science")</f>
        <v>View Full Record in Web of Science</v>
      </c>
      <c r="BW100" s="6" t="s">
        <v>149</v>
      </c>
      <c r="BX100" s="10" t="s">
        <v>2419</v>
      </c>
      <c r="BY100" s="10" t="s">
        <v>289</v>
      </c>
      <c r="CA100" s="10" t="s">
        <v>2420</v>
      </c>
      <c r="CB100" s="10" t="s">
        <v>1802</v>
      </c>
      <c r="CC100" s="7" t="s">
        <v>2084</v>
      </c>
      <c r="CD100" s="7" t="s">
        <v>622</v>
      </c>
      <c r="CE100" s="7" t="s">
        <v>554</v>
      </c>
      <c r="CF100" s="7" t="s">
        <v>1965</v>
      </c>
    </row>
    <row r="101" spans="1:84" ht="330">
      <c r="A101" t="s">
        <v>83</v>
      </c>
      <c r="B101" t="s">
        <v>2421</v>
      </c>
      <c r="C101" t="s">
        <v>85</v>
      </c>
      <c r="D101" t="s">
        <v>85</v>
      </c>
      <c r="E101" t="s">
        <v>85</v>
      </c>
      <c r="F101" t="s">
        <v>2422</v>
      </c>
      <c r="G101" t="s">
        <v>85</v>
      </c>
      <c r="H101" t="s">
        <v>85</v>
      </c>
      <c r="I101" s="5" t="s">
        <v>2423</v>
      </c>
      <c r="J101" t="s">
        <v>874</v>
      </c>
      <c r="K101" t="s">
        <v>85</v>
      </c>
      <c r="L101" t="s">
        <v>85</v>
      </c>
      <c r="M101" t="s">
        <v>89</v>
      </c>
      <c r="N101" t="s">
        <v>90</v>
      </c>
      <c r="O101" t="s">
        <v>85</v>
      </c>
      <c r="P101" t="s">
        <v>85</v>
      </c>
      <c r="Q101" t="s">
        <v>85</v>
      </c>
      <c r="R101" t="s">
        <v>85</v>
      </c>
      <c r="S101" t="s">
        <v>85</v>
      </c>
      <c r="T101" t="s">
        <v>2424</v>
      </c>
      <c r="U101" t="s">
        <v>2425</v>
      </c>
      <c r="V101" s="5" t="s">
        <v>2426</v>
      </c>
      <c r="W101" t="s">
        <v>2427</v>
      </c>
      <c r="X101" t="s">
        <v>2428</v>
      </c>
      <c r="Y101" t="s">
        <v>2429</v>
      </c>
      <c r="Z101" t="s">
        <v>531</v>
      </c>
      <c r="AA101" t="s">
        <v>2430</v>
      </c>
      <c r="AB101" t="s">
        <v>2431</v>
      </c>
      <c r="AC101" t="s">
        <v>2432</v>
      </c>
      <c r="AD101" t="s">
        <v>2433</v>
      </c>
      <c r="AE101" t="s">
        <v>2434</v>
      </c>
      <c r="AF101" t="s">
        <v>85</v>
      </c>
      <c r="AG101">
        <v>41</v>
      </c>
      <c r="AH101">
        <v>60</v>
      </c>
      <c r="AI101">
        <v>60</v>
      </c>
      <c r="AJ101">
        <v>8</v>
      </c>
      <c r="AK101">
        <v>67</v>
      </c>
      <c r="AL101" t="s">
        <v>137</v>
      </c>
      <c r="AM101" t="s">
        <v>138</v>
      </c>
      <c r="AN101" t="s">
        <v>139</v>
      </c>
      <c r="AO101" t="s">
        <v>85</v>
      </c>
      <c r="AP101" t="s">
        <v>884</v>
      </c>
      <c r="AQ101" t="s">
        <v>85</v>
      </c>
      <c r="AR101" t="s">
        <v>885</v>
      </c>
      <c r="AS101" t="s">
        <v>886</v>
      </c>
      <c r="AT101" t="s">
        <v>714</v>
      </c>
      <c r="AU101" s="6">
        <v>2021</v>
      </c>
      <c r="AV101">
        <v>18</v>
      </c>
      <c r="AW101">
        <v>5</v>
      </c>
      <c r="AX101" t="s">
        <v>85</v>
      </c>
      <c r="AY101" t="s">
        <v>85</v>
      </c>
      <c r="AZ101" t="s">
        <v>85</v>
      </c>
      <c r="BA101" t="s">
        <v>85</v>
      </c>
      <c r="BB101" t="s">
        <v>85</v>
      </c>
      <c r="BC101" t="s">
        <v>85</v>
      </c>
      <c r="BD101">
        <v>2757</v>
      </c>
      <c r="BE101" t="s">
        <v>2435</v>
      </c>
      <c r="BF101" t="str">
        <f>HYPERLINK("http://dx.doi.org/10.3390/ijerph18052757","http://dx.doi.org/10.3390/ijerph18052757")</f>
        <v>http://dx.doi.org/10.3390/ijerph18052757</v>
      </c>
      <c r="BG101" t="s">
        <v>85</v>
      </c>
      <c r="BH101" t="s">
        <v>85</v>
      </c>
      <c r="BI101">
        <v>21</v>
      </c>
      <c r="BJ101" s="6" t="s">
        <v>889</v>
      </c>
      <c r="BK101" t="s">
        <v>171</v>
      </c>
      <c r="BL101" t="s">
        <v>890</v>
      </c>
      <c r="BM101" t="s">
        <v>2436</v>
      </c>
      <c r="BN101">
        <v>33803166</v>
      </c>
      <c r="BO101" t="s">
        <v>1120</v>
      </c>
      <c r="BP101" t="s">
        <v>85</v>
      </c>
      <c r="BQ101" t="s">
        <v>85</v>
      </c>
      <c r="BR101" t="s">
        <v>116</v>
      </c>
      <c r="BS101" t="s">
        <v>2437</v>
      </c>
      <c r="BT101" t="str">
        <f>HYPERLINK("https%3A%2F%2Fwww.webofscience.com%2Fwos%2Fwoscc%2Ffull-record%2FWOS:000628111800001","View Full Record in Web of Science")</f>
        <v>View Full Record in Web of Science</v>
      </c>
      <c r="BW101" s="6" t="s">
        <v>149</v>
      </c>
      <c r="BX101" s="10" t="s">
        <v>2438</v>
      </c>
      <c r="BY101" s="10" t="s">
        <v>151</v>
      </c>
      <c r="CA101" s="10" t="s">
        <v>2439</v>
      </c>
      <c r="CB101" s="10" t="s">
        <v>1802</v>
      </c>
      <c r="CC101" s="7" t="s">
        <v>2084</v>
      </c>
      <c r="CD101" s="7" t="s">
        <v>622</v>
      </c>
      <c r="CE101" s="7" t="s">
        <v>554</v>
      </c>
      <c r="CF101" s="7" t="s">
        <v>2440</v>
      </c>
    </row>
    <row r="102" spans="1:84" ht="165">
      <c r="A102" t="s">
        <v>83</v>
      </c>
      <c r="B102" t="s">
        <v>2441</v>
      </c>
      <c r="C102" t="s">
        <v>85</v>
      </c>
      <c r="D102" t="s">
        <v>85</v>
      </c>
      <c r="E102" t="s">
        <v>85</v>
      </c>
      <c r="F102" t="s">
        <v>2442</v>
      </c>
      <c r="G102" t="s">
        <v>85</v>
      </c>
      <c r="H102" t="s">
        <v>85</v>
      </c>
      <c r="I102" s="5" t="s">
        <v>2443</v>
      </c>
      <c r="J102" t="s">
        <v>2444</v>
      </c>
      <c r="K102" t="s">
        <v>85</v>
      </c>
      <c r="L102" t="s">
        <v>85</v>
      </c>
      <c r="M102" t="s">
        <v>89</v>
      </c>
      <c r="N102" t="s">
        <v>90</v>
      </c>
      <c r="O102" t="s">
        <v>85</v>
      </c>
      <c r="P102" t="s">
        <v>85</v>
      </c>
      <c r="Q102" t="s">
        <v>85</v>
      </c>
      <c r="R102" t="s">
        <v>85</v>
      </c>
      <c r="S102" t="s">
        <v>85</v>
      </c>
      <c r="T102" t="s">
        <v>2445</v>
      </c>
      <c r="U102" t="s">
        <v>2446</v>
      </c>
      <c r="V102" s="5" t="s">
        <v>2447</v>
      </c>
      <c r="W102" t="s">
        <v>2448</v>
      </c>
      <c r="X102" t="s">
        <v>2449</v>
      </c>
      <c r="Y102" t="s">
        <v>2450</v>
      </c>
      <c r="Z102" t="s">
        <v>2451</v>
      </c>
      <c r="AA102" t="s">
        <v>2452</v>
      </c>
      <c r="AB102" t="s">
        <v>2453</v>
      </c>
      <c r="AC102" t="s">
        <v>2454</v>
      </c>
      <c r="AD102" t="s">
        <v>2455</v>
      </c>
      <c r="AE102" t="s">
        <v>2456</v>
      </c>
      <c r="AF102" t="s">
        <v>85</v>
      </c>
      <c r="AG102">
        <v>151</v>
      </c>
      <c r="AH102">
        <v>60</v>
      </c>
      <c r="AI102">
        <v>62</v>
      </c>
      <c r="AJ102">
        <v>37</v>
      </c>
      <c r="AK102">
        <v>162</v>
      </c>
      <c r="AL102" t="s">
        <v>193</v>
      </c>
      <c r="AM102" t="s">
        <v>194</v>
      </c>
      <c r="AN102" t="s">
        <v>195</v>
      </c>
      <c r="AO102" t="s">
        <v>2457</v>
      </c>
      <c r="AP102" t="s">
        <v>2458</v>
      </c>
      <c r="AQ102" t="s">
        <v>85</v>
      </c>
      <c r="AR102" t="s">
        <v>2459</v>
      </c>
      <c r="AS102" t="s">
        <v>2460</v>
      </c>
      <c r="AT102" t="s">
        <v>714</v>
      </c>
      <c r="AU102" s="6">
        <v>2021</v>
      </c>
      <c r="AV102">
        <v>181</v>
      </c>
      <c r="AW102" t="s">
        <v>85</v>
      </c>
      <c r="AX102" t="s">
        <v>85</v>
      </c>
      <c r="AY102" t="s">
        <v>85</v>
      </c>
      <c r="AZ102" t="s">
        <v>85</v>
      </c>
      <c r="BA102" t="s">
        <v>85</v>
      </c>
      <c r="BB102" t="s">
        <v>85</v>
      </c>
      <c r="BC102" t="s">
        <v>85</v>
      </c>
      <c r="BD102">
        <v>106917</v>
      </c>
      <c r="BE102" t="s">
        <v>2461</v>
      </c>
      <c r="BF102" t="str">
        <f>HYPERLINK("http://dx.doi.org/10.1016/j.ecolecon.2020.106917","http://dx.doi.org/10.1016/j.ecolecon.2020.106917")</f>
        <v>http://dx.doi.org/10.1016/j.ecolecon.2020.106917</v>
      </c>
      <c r="BG102" t="s">
        <v>85</v>
      </c>
      <c r="BH102" t="s">
        <v>85</v>
      </c>
      <c r="BI102">
        <v>12</v>
      </c>
      <c r="BJ102" s="6" t="s">
        <v>2462</v>
      </c>
      <c r="BK102" t="s">
        <v>171</v>
      </c>
      <c r="BL102" t="s">
        <v>2463</v>
      </c>
      <c r="BM102" t="s">
        <v>2464</v>
      </c>
      <c r="BN102" t="s">
        <v>85</v>
      </c>
      <c r="BO102" t="s">
        <v>206</v>
      </c>
      <c r="BP102" t="s">
        <v>1552</v>
      </c>
      <c r="BQ102" t="s">
        <v>1553</v>
      </c>
      <c r="BR102" t="s">
        <v>116</v>
      </c>
      <c r="BS102" t="s">
        <v>2465</v>
      </c>
      <c r="BT102" t="str">
        <f>HYPERLINK("https%3A%2F%2Fwww.webofscience.com%2Fwos%2Fwoscc%2Ffull-record%2FWOS:000607535200010","View Full Record in Web of Science")</f>
        <v>View Full Record in Web of Science</v>
      </c>
      <c r="BW102" s="6" t="s">
        <v>491</v>
      </c>
      <c r="BX102" s="10" t="s">
        <v>2466</v>
      </c>
      <c r="BY102" s="10" t="s">
        <v>151</v>
      </c>
      <c r="CA102" s="10" t="s">
        <v>2467</v>
      </c>
      <c r="CB102" s="10" t="s">
        <v>1802</v>
      </c>
      <c r="CC102" s="7" t="s">
        <v>2084</v>
      </c>
      <c r="CD102" s="7" t="s">
        <v>1861</v>
      </c>
      <c r="CE102" s="7" t="s">
        <v>554</v>
      </c>
      <c r="CF102" s="7" t="s">
        <v>2468</v>
      </c>
    </row>
    <row r="103" spans="1:84" ht="255">
      <c r="A103" t="s">
        <v>83</v>
      </c>
      <c r="B103" t="s">
        <v>2469</v>
      </c>
      <c r="C103" t="s">
        <v>85</v>
      </c>
      <c r="D103" t="s">
        <v>85</v>
      </c>
      <c r="E103" t="s">
        <v>85</v>
      </c>
      <c r="F103" t="s">
        <v>2470</v>
      </c>
      <c r="G103" t="s">
        <v>85</v>
      </c>
      <c r="H103" t="s">
        <v>85</v>
      </c>
      <c r="I103" s="5" t="s">
        <v>2471</v>
      </c>
      <c r="J103" t="s">
        <v>793</v>
      </c>
      <c r="K103" t="s">
        <v>85</v>
      </c>
      <c r="L103" t="s">
        <v>85</v>
      </c>
      <c r="M103" t="s">
        <v>89</v>
      </c>
      <c r="N103" t="s">
        <v>90</v>
      </c>
      <c r="O103" t="s">
        <v>85</v>
      </c>
      <c r="P103" t="s">
        <v>85</v>
      </c>
      <c r="Q103" t="s">
        <v>85</v>
      </c>
      <c r="R103" t="s">
        <v>85</v>
      </c>
      <c r="S103" t="s">
        <v>85</v>
      </c>
      <c r="T103" t="s">
        <v>2472</v>
      </c>
      <c r="U103" t="s">
        <v>2473</v>
      </c>
      <c r="V103" s="5" t="s">
        <v>2474</v>
      </c>
      <c r="W103" t="s">
        <v>2475</v>
      </c>
      <c r="X103" t="s">
        <v>2074</v>
      </c>
      <c r="Y103" t="s">
        <v>2075</v>
      </c>
      <c r="Z103" t="s">
        <v>2033</v>
      </c>
      <c r="AA103" t="s">
        <v>85</v>
      </c>
      <c r="AB103" t="s">
        <v>2034</v>
      </c>
      <c r="AC103" t="s">
        <v>2476</v>
      </c>
      <c r="AD103" t="s">
        <v>2477</v>
      </c>
      <c r="AE103" t="s">
        <v>2478</v>
      </c>
      <c r="AF103" t="s">
        <v>85</v>
      </c>
      <c r="AG103">
        <v>93</v>
      </c>
      <c r="AH103">
        <v>48</v>
      </c>
      <c r="AI103">
        <v>48</v>
      </c>
      <c r="AJ103">
        <v>31</v>
      </c>
      <c r="AK103">
        <v>148</v>
      </c>
      <c r="AL103" t="s">
        <v>193</v>
      </c>
      <c r="AM103" t="s">
        <v>194</v>
      </c>
      <c r="AN103" t="s">
        <v>195</v>
      </c>
      <c r="AO103" t="s">
        <v>804</v>
      </c>
      <c r="AP103" t="s">
        <v>805</v>
      </c>
      <c r="AQ103" t="s">
        <v>85</v>
      </c>
      <c r="AR103" t="s">
        <v>806</v>
      </c>
      <c r="AS103" t="s">
        <v>807</v>
      </c>
      <c r="AT103" t="s">
        <v>2479</v>
      </c>
      <c r="AU103" s="6">
        <v>2021</v>
      </c>
      <c r="AV103">
        <v>755</v>
      </c>
      <c r="AW103" t="s">
        <v>85</v>
      </c>
      <c r="AX103">
        <v>2</v>
      </c>
      <c r="AY103" t="s">
        <v>85</v>
      </c>
      <c r="AZ103" t="s">
        <v>85</v>
      </c>
      <c r="BA103" t="s">
        <v>85</v>
      </c>
      <c r="BB103" t="s">
        <v>85</v>
      </c>
      <c r="BC103" t="s">
        <v>85</v>
      </c>
      <c r="BD103">
        <v>143095</v>
      </c>
      <c r="BE103" t="s">
        <v>2480</v>
      </c>
      <c r="BF103" t="str">
        <f>HYPERLINK("http://dx.doi.org/10.1016/j.scitotenv.2020.143095","http://dx.doi.org/10.1016/j.scitotenv.2020.143095")</f>
        <v>http://dx.doi.org/10.1016/j.scitotenv.2020.143095</v>
      </c>
      <c r="BG103" t="s">
        <v>85</v>
      </c>
      <c r="BH103" t="s">
        <v>85</v>
      </c>
      <c r="BI103">
        <v>13</v>
      </c>
      <c r="BJ103" s="6" t="s">
        <v>111</v>
      </c>
      <c r="BK103" t="s">
        <v>171</v>
      </c>
      <c r="BL103" t="s">
        <v>113</v>
      </c>
      <c r="BM103" t="s">
        <v>2481</v>
      </c>
      <c r="BN103">
        <v>33139002</v>
      </c>
      <c r="BO103" t="s">
        <v>1162</v>
      </c>
      <c r="BP103" t="s">
        <v>85</v>
      </c>
      <c r="BQ103" t="s">
        <v>85</v>
      </c>
      <c r="BR103" t="s">
        <v>116</v>
      </c>
      <c r="BS103" t="s">
        <v>2482</v>
      </c>
      <c r="BT103" t="str">
        <f>HYPERLINK("https%3A%2F%2Fwww.webofscience.com%2Fwos%2Fwoscc%2Ffull-record%2FWOS:000600786700083","View Full Record in Web of Science")</f>
        <v>View Full Record in Web of Science</v>
      </c>
      <c r="BW103" s="6" t="s">
        <v>149</v>
      </c>
      <c r="BX103" s="10" t="s">
        <v>2483</v>
      </c>
      <c r="BY103" s="10" t="s">
        <v>289</v>
      </c>
      <c r="CA103" s="10" t="s">
        <v>2484</v>
      </c>
      <c r="CB103" s="10" t="s">
        <v>1802</v>
      </c>
      <c r="CC103" s="7" t="s">
        <v>2084</v>
      </c>
      <c r="CD103" s="7" t="s">
        <v>2485</v>
      </c>
      <c r="CE103" s="7" t="s">
        <v>118</v>
      </c>
      <c r="CF103" s="7" t="s">
        <v>2048</v>
      </c>
    </row>
    <row r="104" spans="1:84" ht="240">
      <c r="A104" t="s">
        <v>83</v>
      </c>
      <c r="B104" t="s">
        <v>2486</v>
      </c>
      <c r="C104" t="s">
        <v>85</v>
      </c>
      <c r="D104" t="s">
        <v>85</v>
      </c>
      <c r="E104" t="s">
        <v>85</v>
      </c>
      <c r="F104" t="s">
        <v>2487</v>
      </c>
      <c r="G104" t="s">
        <v>85</v>
      </c>
      <c r="H104" t="s">
        <v>85</v>
      </c>
      <c r="I104" s="5" t="s">
        <v>2488</v>
      </c>
      <c r="J104" t="s">
        <v>793</v>
      </c>
      <c r="K104" t="s">
        <v>85</v>
      </c>
      <c r="L104" t="s">
        <v>85</v>
      </c>
      <c r="M104" t="s">
        <v>89</v>
      </c>
      <c r="N104" t="s">
        <v>90</v>
      </c>
      <c r="O104" t="s">
        <v>85</v>
      </c>
      <c r="P104" t="s">
        <v>85</v>
      </c>
      <c r="Q104" t="s">
        <v>85</v>
      </c>
      <c r="R104" t="s">
        <v>85</v>
      </c>
      <c r="S104" t="s">
        <v>85</v>
      </c>
      <c r="T104" t="s">
        <v>2489</v>
      </c>
      <c r="U104" t="s">
        <v>2490</v>
      </c>
      <c r="V104" s="5" t="s">
        <v>2491</v>
      </c>
      <c r="W104" t="s">
        <v>2492</v>
      </c>
      <c r="X104" t="s">
        <v>2493</v>
      </c>
      <c r="Y104" t="s">
        <v>2494</v>
      </c>
      <c r="Z104" t="s">
        <v>2495</v>
      </c>
      <c r="AA104" t="s">
        <v>2496</v>
      </c>
      <c r="AB104" t="s">
        <v>2497</v>
      </c>
      <c r="AC104" t="s">
        <v>2498</v>
      </c>
      <c r="AD104" t="s">
        <v>2499</v>
      </c>
      <c r="AE104" t="s">
        <v>2500</v>
      </c>
      <c r="AF104" t="s">
        <v>85</v>
      </c>
      <c r="AG104">
        <v>100</v>
      </c>
      <c r="AH104">
        <v>40</v>
      </c>
      <c r="AI104">
        <v>40</v>
      </c>
      <c r="AJ104">
        <v>16</v>
      </c>
      <c r="AK104">
        <v>57</v>
      </c>
      <c r="AL104" t="s">
        <v>193</v>
      </c>
      <c r="AM104" t="s">
        <v>194</v>
      </c>
      <c r="AN104" t="s">
        <v>195</v>
      </c>
      <c r="AO104" t="s">
        <v>804</v>
      </c>
      <c r="AP104" t="s">
        <v>805</v>
      </c>
      <c r="AQ104" t="s">
        <v>85</v>
      </c>
      <c r="AR104" t="s">
        <v>806</v>
      </c>
      <c r="AS104" t="s">
        <v>807</v>
      </c>
      <c r="AT104" t="s">
        <v>2479</v>
      </c>
      <c r="AU104" s="6">
        <v>2021</v>
      </c>
      <c r="AV104">
        <v>755</v>
      </c>
      <c r="AW104" t="s">
        <v>85</v>
      </c>
      <c r="AX104">
        <v>1</v>
      </c>
      <c r="AY104" t="s">
        <v>85</v>
      </c>
      <c r="AZ104" t="s">
        <v>85</v>
      </c>
      <c r="BA104" t="s">
        <v>85</v>
      </c>
      <c r="BB104" t="s">
        <v>85</v>
      </c>
      <c r="BC104" t="s">
        <v>85</v>
      </c>
      <c r="BD104">
        <v>143050</v>
      </c>
      <c r="BE104" t="s">
        <v>2501</v>
      </c>
      <c r="BF104" t="str">
        <f>HYPERLINK("http://dx.doi.org/10.1016/j.scitotenv.2020.143050","http://dx.doi.org/10.1016/j.scitotenv.2020.143050")</f>
        <v>http://dx.doi.org/10.1016/j.scitotenv.2020.143050</v>
      </c>
      <c r="BG104" t="s">
        <v>85</v>
      </c>
      <c r="BH104" t="s">
        <v>85</v>
      </c>
      <c r="BI104">
        <v>14</v>
      </c>
      <c r="BJ104" s="6" t="s">
        <v>111</v>
      </c>
      <c r="BK104" t="s">
        <v>171</v>
      </c>
      <c r="BL104" t="s">
        <v>113</v>
      </c>
      <c r="BM104" t="s">
        <v>2502</v>
      </c>
      <c r="BN104">
        <v>33129523</v>
      </c>
      <c r="BO104" t="s">
        <v>784</v>
      </c>
      <c r="BP104" t="s">
        <v>85</v>
      </c>
      <c r="BQ104" t="s">
        <v>85</v>
      </c>
      <c r="BR104" t="s">
        <v>116</v>
      </c>
      <c r="BS104" t="s">
        <v>2503</v>
      </c>
      <c r="BT104" t="str">
        <f>HYPERLINK("https%3A%2F%2Fwww.webofscience.com%2Fwos%2Fwoscc%2Ffull-record%2FWOS:000600537400050","View Full Record in Web of Science")</f>
        <v>View Full Record in Web of Science</v>
      </c>
      <c r="BW104" s="6" t="s">
        <v>365</v>
      </c>
      <c r="BX104" s="10" t="s">
        <v>2504</v>
      </c>
      <c r="BY104" s="10" t="s">
        <v>289</v>
      </c>
      <c r="CA104" s="10" t="s">
        <v>1123</v>
      </c>
      <c r="CB104" s="10" t="s">
        <v>1802</v>
      </c>
      <c r="CC104" s="7" t="s">
        <v>2084</v>
      </c>
      <c r="CD104" s="7" t="s">
        <v>1019</v>
      </c>
      <c r="CE104" s="7" t="s">
        <v>554</v>
      </c>
      <c r="CF104" s="7" t="s">
        <v>2505</v>
      </c>
    </row>
    <row r="105" spans="1:84" ht="195">
      <c r="A105" t="s">
        <v>83</v>
      </c>
      <c r="B105" t="s">
        <v>2506</v>
      </c>
      <c r="C105" t="s">
        <v>85</v>
      </c>
      <c r="D105" t="s">
        <v>85</v>
      </c>
      <c r="E105" t="s">
        <v>85</v>
      </c>
      <c r="F105" t="s">
        <v>2507</v>
      </c>
      <c r="G105" t="s">
        <v>85</v>
      </c>
      <c r="H105" t="s">
        <v>85</v>
      </c>
      <c r="I105" s="5" t="s">
        <v>2508</v>
      </c>
      <c r="J105" t="s">
        <v>312</v>
      </c>
      <c r="K105" t="s">
        <v>85</v>
      </c>
      <c r="L105" t="s">
        <v>85</v>
      </c>
      <c r="M105" t="s">
        <v>89</v>
      </c>
      <c r="N105" t="s">
        <v>90</v>
      </c>
      <c r="O105" t="s">
        <v>85</v>
      </c>
      <c r="P105" t="s">
        <v>85</v>
      </c>
      <c r="Q105" t="s">
        <v>85</v>
      </c>
      <c r="R105" t="s">
        <v>85</v>
      </c>
      <c r="S105" t="s">
        <v>85</v>
      </c>
      <c r="T105" t="s">
        <v>2509</v>
      </c>
      <c r="U105" t="s">
        <v>2510</v>
      </c>
      <c r="V105" s="5" t="s">
        <v>2511</v>
      </c>
      <c r="W105" t="s">
        <v>2512</v>
      </c>
      <c r="X105" t="s">
        <v>2513</v>
      </c>
      <c r="Y105" t="s">
        <v>2514</v>
      </c>
      <c r="Z105" t="s">
        <v>2515</v>
      </c>
      <c r="AA105" t="s">
        <v>2516</v>
      </c>
      <c r="AB105" t="s">
        <v>2517</v>
      </c>
      <c r="AC105" t="s">
        <v>2518</v>
      </c>
      <c r="AD105" t="s">
        <v>2519</v>
      </c>
      <c r="AE105" t="s">
        <v>2520</v>
      </c>
      <c r="AF105" t="s">
        <v>85</v>
      </c>
      <c r="AG105">
        <v>67</v>
      </c>
      <c r="AH105">
        <v>17</v>
      </c>
      <c r="AI105">
        <v>19</v>
      </c>
      <c r="AJ105">
        <v>32</v>
      </c>
      <c r="AK105">
        <v>178</v>
      </c>
      <c r="AL105" t="s">
        <v>193</v>
      </c>
      <c r="AM105" t="s">
        <v>194</v>
      </c>
      <c r="AN105" t="s">
        <v>195</v>
      </c>
      <c r="AO105" t="s">
        <v>325</v>
      </c>
      <c r="AP105" t="s">
        <v>326</v>
      </c>
      <c r="AQ105" t="s">
        <v>85</v>
      </c>
      <c r="AR105" t="s">
        <v>327</v>
      </c>
      <c r="AS105" t="s">
        <v>328</v>
      </c>
      <c r="AT105" t="s">
        <v>568</v>
      </c>
      <c r="AU105" s="6">
        <v>2021</v>
      </c>
      <c r="AV105">
        <v>206</v>
      </c>
      <c r="AW105" t="s">
        <v>85</v>
      </c>
      <c r="AX105" t="s">
        <v>85</v>
      </c>
      <c r="AY105" t="s">
        <v>85</v>
      </c>
      <c r="AZ105" t="s">
        <v>85</v>
      </c>
      <c r="BA105" t="s">
        <v>85</v>
      </c>
      <c r="BB105" t="s">
        <v>85</v>
      </c>
      <c r="BC105" t="s">
        <v>85</v>
      </c>
      <c r="BD105">
        <v>103978</v>
      </c>
      <c r="BE105" t="s">
        <v>2521</v>
      </c>
      <c r="BF105" t="str">
        <f>HYPERLINK("http://dx.doi.org/10.1016/j.landurbplan.2020.103978","http://dx.doi.org/10.1016/j.landurbplan.2020.103978")</f>
        <v>http://dx.doi.org/10.1016/j.landurbplan.2020.103978</v>
      </c>
      <c r="BG105" t="s">
        <v>85</v>
      </c>
      <c r="BH105" t="s">
        <v>85</v>
      </c>
      <c r="BI105">
        <v>11</v>
      </c>
      <c r="BJ105" s="6" t="s">
        <v>331</v>
      </c>
      <c r="BK105" t="s">
        <v>171</v>
      </c>
      <c r="BL105" t="s">
        <v>332</v>
      </c>
      <c r="BM105" t="s">
        <v>2522</v>
      </c>
      <c r="BN105" t="s">
        <v>85</v>
      </c>
      <c r="BO105" t="s">
        <v>1015</v>
      </c>
      <c r="BP105" t="s">
        <v>85</v>
      </c>
      <c r="BQ105" t="s">
        <v>85</v>
      </c>
      <c r="BR105" t="s">
        <v>116</v>
      </c>
      <c r="BS105" t="s">
        <v>2523</v>
      </c>
      <c r="BT105" t="str">
        <f>HYPERLINK("https%3A%2F%2Fwww.webofscience.com%2Fwos%2Fwoscc%2Ffull-record%2FWOS:000597319200007","View Full Record in Web of Science")</f>
        <v>View Full Record in Web of Science</v>
      </c>
      <c r="BW105" s="6" t="s">
        <v>365</v>
      </c>
      <c r="BX105" s="10" t="s">
        <v>2524</v>
      </c>
      <c r="BY105" s="10" t="s">
        <v>289</v>
      </c>
      <c r="CA105" s="10" t="s">
        <v>2525</v>
      </c>
      <c r="CB105" s="10" t="s">
        <v>1802</v>
      </c>
      <c r="CC105" s="7" t="s">
        <v>2084</v>
      </c>
      <c r="CD105" s="7" t="s">
        <v>2526</v>
      </c>
      <c r="CE105" s="7" t="s">
        <v>118</v>
      </c>
      <c r="CF105" s="7" t="s">
        <v>623</v>
      </c>
    </row>
    <row r="106" spans="1:84" ht="135">
      <c r="A106" t="s">
        <v>83</v>
      </c>
      <c r="B106" t="s">
        <v>2527</v>
      </c>
      <c r="C106" t="s">
        <v>85</v>
      </c>
      <c r="D106" t="s">
        <v>85</v>
      </c>
      <c r="E106" t="s">
        <v>85</v>
      </c>
      <c r="F106" t="s">
        <v>2528</v>
      </c>
      <c r="G106" t="s">
        <v>85</v>
      </c>
      <c r="H106" t="s">
        <v>85</v>
      </c>
      <c r="I106" s="5" t="s">
        <v>2529</v>
      </c>
      <c r="J106" t="s">
        <v>1561</v>
      </c>
      <c r="K106" t="s">
        <v>85</v>
      </c>
      <c r="L106" t="s">
        <v>85</v>
      </c>
      <c r="M106" t="s">
        <v>89</v>
      </c>
      <c r="N106" t="s">
        <v>90</v>
      </c>
      <c r="O106" t="s">
        <v>85</v>
      </c>
      <c r="P106" t="s">
        <v>85</v>
      </c>
      <c r="Q106" t="s">
        <v>85</v>
      </c>
      <c r="R106" t="s">
        <v>85</v>
      </c>
      <c r="S106" t="s">
        <v>85</v>
      </c>
      <c r="T106" t="s">
        <v>2530</v>
      </c>
      <c r="U106" t="s">
        <v>2531</v>
      </c>
      <c r="V106" s="5" t="s">
        <v>2532</v>
      </c>
      <c r="W106" t="s">
        <v>2533</v>
      </c>
      <c r="X106" t="s">
        <v>2534</v>
      </c>
      <c r="Y106" t="s">
        <v>2535</v>
      </c>
      <c r="Z106" t="s">
        <v>2536</v>
      </c>
      <c r="AA106" t="s">
        <v>2537</v>
      </c>
      <c r="AB106" t="s">
        <v>2538</v>
      </c>
      <c r="AC106" t="s">
        <v>2539</v>
      </c>
      <c r="AD106" t="s">
        <v>2540</v>
      </c>
      <c r="AE106" t="s">
        <v>2541</v>
      </c>
      <c r="AF106" t="s">
        <v>85</v>
      </c>
      <c r="AG106">
        <v>84</v>
      </c>
      <c r="AH106">
        <v>18</v>
      </c>
      <c r="AI106">
        <v>18</v>
      </c>
      <c r="AJ106">
        <v>12</v>
      </c>
      <c r="AK106">
        <v>39</v>
      </c>
      <c r="AL106" t="s">
        <v>680</v>
      </c>
      <c r="AM106" t="s">
        <v>102</v>
      </c>
      <c r="AN106" t="s">
        <v>681</v>
      </c>
      <c r="AO106" t="s">
        <v>1571</v>
      </c>
      <c r="AP106" t="s">
        <v>1572</v>
      </c>
      <c r="AQ106" t="s">
        <v>85</v>
      </c>
      <c r="AR106" t="s">
        <v>1573</v>
      </c>
      <c r="AS106" t="s">
        <v>1574</v>
      </c>
      <c r="AT106" t="s">
        <v>544</v>
      </c>
      <c r="AU106" s="6">
        <v>2021</v>
      </c>
      <c r="AV106">
        <v>67</v>
      </c>
      <c r="AW106" t="s">
        <v>85</v>
      </c>
      <c r="AX106" t="s">
        <v>85</v>
      </c>
      <c r="AY106" t="s">
        <v>85</v>
      </c>
      <c r="AZ106" t="s">
        <v>85</v>
      </c>
      <c r="BA106" t="s">
        <v>85</v>
      </c>
      <c r="BB106" t="s">
        <v>85</v>
      </c>
      <c r="BC106" t="s">
        <v>85</v>
      </c>
      <c r="BD106">
        <v>102497</v>
      </c>
      <c r="BE106" t="s">
        <v>2542</v>
      </c>
      <c r="BF106" t="str">
        <f>HYPERLINK("http://dx.doi.org/10.1016/j.healthplace.2020.102497","http://dx.doi.org/10.1016/j.healthplace.2020.102497")</f>
        <v>http://dx.doi.org/10.1016/j.healthplace.2020.102497</v>
      </c>
      <c r="BG106" t="s">
        <v>85</v>
      </c>
      <c r="BH106" t="s">
        <v>85</v>
      </c>
      <c r="BI106">
        <v>11</v>
      </c>
      <c r="BJ106" s="6" t="s">
        <v>616</v>
      </c>
      <c r="BK106" t="s">
        <v>171</v>
      </c>
      <c r="BL106" t="s">
        <v>616</v>
      </c>
      <c r="BM106" t="s">
        <v>2543</v>
      </c>
      <c r="BN106">
        <v>33352488</v>
      </c>
      <c r="BO106" t="s">
        <v>427</v>
      </c>
      <c r="BP106" t="s">
        <v>85</v>
      </c>
      <c r="BQ106" t="s">
        <v>85</v>
      </c>
      <c r="BR106" t="s">
        <v>116</v>
      </c>
      <c r="BS106" t="s">
        <v>2544</v>
      </c>
      <c r="BT106" t="str">
        <f>HYPERLINK("https%3A%2F%2Fwww.webofscience.com%2Fwos%2Fwoscc%2Ffull-record%2FWOS:000616071400003","View Full Record in Web of Science")</f>
        <v>View Full Record in Web of Science</v>
      </c>
      <c r="BW106" s="6" t="s">
        <v>149</v>
      </c>
      <c r="BX106" s="10" t="s">
        <v>2545</v>
      </c>
      <c r="BY106" s="10" t="s">
        <v>151</v>
      </c>
      <c r="CA106" s="10" t="s">
        <v>2546</v>
      </c>
      <c r="CB106" s="10" t="s">
        <v>1802</v>
      </c>
      <c r="CC106" s="7" t="s">
        <v>2084</v>
      </c>
      <c r="CD106" s="7" t="s">
        <v>622</v>
      </c>
      <c r="CE106" s="7" t="s">
        <v>2547</v>
      </c>
      <c r="CF106" s="7" t="s">
        <v>2548</v>
      </c>
    </row>
    <row r="107" spans="1:84" ht="240">
      <c r="A107" t="s">
        <v>83</v>
      </c>
      <c r="B107" t="s">
        <v>2549</v>
      </c>
      <c r="C107" t="s">
        <v>85</v>
      </c>
      <c r="D107" t="s">
        <v>85</v>
      </c>
      <c r="E107" t="s">
        <v>85</v>
      </c>
      <c r="F107" t="s">
        <v>2550</v>
      </c>
      <c r="G107" t="s">
        <v>85</v>
      </c>
      <c r="H107" t="s">
        <v>85</v>
      </c>
      <c r="I107" s="5" t="s">
        <v>2551</v>
      </c>
      <c r="J107" t="s">
        <v>264</v>
      </c>
      <c r="K107" t="s">
        <v>85</v>
      </c>
      <c r="L107" t="s">
        <v>85</v>
      </c>
      <c r="M107" t="s">
        <v>89</v>
      </c>
      <c r="N107" t="s">
        <v>90</v>
      </c>
      <c r="O107" t="s">
        <v>85</v>
      </c>
      <c r="P107" t="s">
        <v>85</v>
      </c>
      <c r="Q107" t="s">
        <v>85</v>
      </c>
      <c r="R107" t="s">
        <v>85</v>
      </c>
      <c r="S107" t="s">
        <v>85</v>
      </c>
      <c r="T107" t="s">
        <v>2552</v>
      </c>
      <c r="U107" t="s">
        <v>2553</v>
      </c>
      <c r="V107" s="5" t="s">
        <v>2554</v>
      </c>
      <c r="W107" t="s">
        <v>2555</v>
      </c>
      <c r="X107" t="s">
        <v>2556</v>
      </c>
      <c r="Y107" t="s">
        <v>2557</v>
      </c>
      <c r="Z107" t="s">
        <v>2558</v>
      </c>
      <c r="AA107" t="s">
        <v>2559</v>
      </c>
      <c r="AB107" t="s">
        <v>2560</v>
      </c>
      <c r="AC107" t="s">
        <v>2561</v>
      </c>
      <c r="AD107" t="s">
        <v>2562</v>
      </c>
      <c r="AE107" t="s">
        <v>2563</v>
      </c>
      <c r="AF107" t="s">
        <v>85</v>
      </c>
      <c r="AG107">
        <v>96</v>
      </c>
      <c r="AH107">
        <v>16</v>
      </c>
      <c r="AI107">
        <v>17</v>
      </c>
      <c r="AJ107">
        <v>14</v>
      </c>
      <c r="AK107">
        <v>69</v>
      </c>
      <c r="AL107" t="s">
        <v>275</v>
      </c>
      <c r="AM107" t="s">
        <v>276</v>
      </c>
      <c r="AN107" t="s">
        <v>277</v>
      </c>
      <c r="AO107" t="s">
        <v>278</v>
      </c>
      <c r="AP107" t="s">
        <v>279</v>
      </c>
      <c r="AQ107" t="s">
        <v>85</v>
      </c>
      <c r="AR107" t="s">
        <v>280</v>
      </c>
      <c r="AS107" t="s">
        <v>281</v>
      </c>
      <c r="AT107" t="s">
        <v>544</v>
      </c>
      <c r="AU107" s="6">
        <v>2021</v>
      </c>
      <c r="AV107">
        <v>57</v>
      </c>
      <c r="AW107" t="s">
        <v>85</v>
      </c>
      <c r="AX107" t="s">
        <v>85</v>
      </c>
      <c r="AY107" t="s">
        <v>85</v>
      </c>
      <c r="AZ107" t="s">
        <v>85</v>
      </c>
      <c r="BA107" t="s">
        <v>85</v>
      </c>
      <c r="BB107" t="s">
        <v>85</v>
      </c>
      <c r="BC107" t="s">
        <v>85</v>
      </c>
      <c r="BD107">
        <v>126947</v>
      </c>
      <c r="BE107" t="s">
        <v>2564</v>
      </c>
      <c r="BF107" t="str">
        <f>HYPERLINK("http://dx.doi.org/10.1016/j.ufug.2020.126947","http://dx.doi.org/10.1016/j.ufug.2020.126947")</f>
        <v>http://dx.doi.org/10.1016/j.ufug.2020.126947</v>
      </c>
      <c r="BG107" t="s">
        <v>85</v>
      </c>
      <c r="BH107" t="s">
        <v>85</v>
      </c>
      <c r="BI107">
        <v>12</v>
      </c>
      <c r="BJ107" s="6" t="s">
        <v>284</v>
      </c>
      <c r="BK107" t="s">
        <v>171</v>
      </c>
      <c r="BL107" t="s">
        <v>285</v>
      </c>
      <c r="BM107" t="s">
        <v>2565</v>
      </c>
      <c r="BN107" t="s">
        <v>85</v>
      </c>
      <c r="BO107" t="s">
        <v>85</v>
      </c>
      <c r="BP107" t="s">
        <v>85</v>
      </c>
      <c r="BQ107" t="s">
        <v>85</v>
      </c>
      <c r="BR107" t="s">
        <v>116</v>
      </c>
      <c r="BS107" t="s">
        <v>2566</v>
      </c>
      <c r="BT107" t="str">
        <f>HYPERLINK("https%3A%2F%2Fwww.webofscience.com%2Fwos%2Fwoscc%2Ffull-record%2FWOS:000619218900005","View Full Record in Web of Science")</f>
        <v>View Full Record in Web of Science</v>
      </c>
      <c r="BW107" s="6" t="s">
        <v>365</v>
      </c>
      <c r="BX107" s="10" t="s">
        <v>2567</v>
      </c>
      <c r="BY107" s="10" t="s">
        <v>289</v>
      </c>
      <c r="CA107" s="10" t="s">
        <v>2568</v>
      </c>
      <c r="CB107" s="10" t="s">
        <v>1802</v>
      </c>
      <c r="CC107" s="7" t="s">
        <v>2084</v>
      </c>
      <c r="CD107" s="7" t="s">
        <v>694</v>
      </c>
      <c r="CE107" s="7" t="s">
        <v>554</v>
      </c>
      <c r="CF107" s="7" t="s">
        <v>2569</v>
      </c>
    </row>
    <row r="108" spans="1:84" ht="195">
      <c r="A108" t="s">
        <v>83</v>
      </c>
      <c r="B108" t="s">
        <v>2570</v>
      </c>
      <c r="C108" t="s">
        <v>85</v>
      </c>
      <c r="D108" t="s">
        <v>85</v>
      </c>
      <c r="E108" t="s">
        <v>85</v>
      </c>
      <c r="F108" t="s">
        <v>2571</v>
      </c>
      <c r="G108" t="s">
        <v>85</v>
      </c>
      <c r="H108" t="s">
        <v>85</v>
      </c>
      <c r="I108" s="5" t="s">
        <v>2572</v>
      </c>
      <c r="J108" t="s">
        <v>874</v>
      </c>
      <c r="K108" t="s">
        <v>85</v>
      </c>
      <c r="L108" t="s">
        <v>85</v>
      </c>
      <c r="M108" t="s">
        <v>89</v>
      </c>
      <c r="N108" t="s">
        <v>90</v>
      </c>
      <c r="O108" t="s">
        <v>85</v>
      </c>
      <c r="P108" t="s">
        <v>85</v>
      </c>
      <c r="Q108" t="s">
        <v>85</v>
      </c>
      <c r="R108" t="s">
        <v>85</v>
      </c>
      <c r="S108" t="s">
        <v>85</v>
      </c>
      <c r="T108" t="s">
        <v>2573</v>
      </c>
      <c r="U108" t="s">
        <v>2574</v>
      </c>
      <c r="V108" s="5" t="s">
        <v>2575</v>
      </c>
      <c r="W108" t="s">
        <v>2576</v>
      </c>
      <c r="X108" t="s">
        <v>2240</v>
      </c>
      <c r="Y108" t="s">
        <v>2577</v>
      </c>
      <c r="Z108" t="s">
        <v>2578</v>
      </c>
      <c r="AA108" t="s">
        <v>85</v>
      </c>
      <c r="AB108" t="s">
        <v>2579</v>
      </c>
      <c r="AC108" t="s">
        <v>2580</v>
      </c>
      <c r="AD108" t="s">
        <v>2581</v>
      </c>
      <c r="AE108" t="s">
        <v>2582</v>
      </c>
      <c r="AF108" t="s">
        <v>85</v>
      </c>
      <c r="AG108">
        <v>60</v>
      </c>
      <c r="AH108">
        <v>3</v>
      </c>
      <c r="AI108">
        <v>4</v>
      </c>
      <c r="AJ108">
        <v>19</v>
      </c>
      <c r="AK108">
        <v>96</v>
      </c>
      <c r="AL108" t="s">
        <v>137</v>
      </c>
      <c r="AM108" t="s">
        <v>138</v>
      </c>
      <c r="AN108" t="s">
        <v>139</v>
      </c>
      <c r="AO108" t="s">
        <v>85</v>
      </c>
      <c r="AP108" t="s">
        <v>884</v>
      </c>
      <c r="AQ108" t="s">
        <v>85</v>
      </c>
      <c r="AR108" t="s">
        <v>885</v>
      </c>
      <c r="AS108" t="s">
        <v>886</v>
      </c>
      <c r="AT108" t="s">
        <v>544</v>
      </c>
      <c r="AU108" s="6">
        <v>2021</v>
      </c>
      <c r="AV108">
        <v>18</v>
      </c>
      <c r="AW108">
        <v>2</v>
      </c>
      <c r="AX108" t="s">
        <v>85</v>
      </c>
      <c r="AY108" t="s">
        <v>85</v>
      </c>
      <c r="AZ108" t="s">
        <v>85</v>
      </c>
      <c r="BA108" t="s">
        <v>85</v>
      </c>
      <c r="BB108" t="s">
        <v>85</v>
      </c>
      <c r="BC108" t="s">
        <v>85</v>
      </c>
      <c r="BD108">
        <v>509</v>
      </c>
      <c r="BE108" t="s">
        <v>2583</v>
      </c>
      <c r="BF108" t="str">
        <f>HYPERLINK("http://dx.doi.org/10.3390/ijerph18020509","http://dx.doi.org/10.3390/ijerph18020509")</f>
        <v>http://dx.doi.org/10.3390/ijerph18020509</v>
      </c>
      <c r="BG108" t="s">
        <v>85</v>
      </c>
      <c r="BH108" t="s">
        <v>85</v>
      </c>
      <c r="BI108">
        <v>14</v>
      </c>
      <c r="BJ108" s="6" t="s">
        <v>889</v>
      </c>
      <c r="BK108" t="s">
        <v>171</v>
      </c>
      <c r="BL108" t="s">
        <v>890</v>
      </c>
      <c r="BM108" t="s">
        <v>2584</v>
      </c>
      <c r="BN108">
        <v>33435508</v>
      </c>
      <c r="BO108" t="s">
        <v>1120</v>
      </c>
      <c r="BP108" t="s">
        <v>85</v>
      </c>
      <c r="BQ108" t="s">
        <v>85</v>
      </c>
      <c r="BR108" t="s">
        <v>116</v>
      </c>
      <c r="BS108" t="s">
        <v>2585</v>
      </c>
      <c r="BT108" t="str">
        <f>HYPERLINK("https%3A%2F%2Fwww.webofscience.com%2Fwos%2Fwoscc%2Ffull-record%2FWOS:000611261200001","View Full Record in Web of Science")</f>
        <v>View Full Record in Web of Science</v>
      </c>
      <c r="BW108" s="6" t="s">
        <v>149</v>
      </c>
      <c r="BX108" s="10" t="s">
        <v>2586</v>
      </c>
      <c r="BY108" s="10" t="s">
        <v>2587</v>
      </c>
      <c r="CA108" s="10" t="s">
        <v>2588</v>
      </c>
      <c r="CB108" s="10" t="s">
        <v>1802</v>
      </c>
      <c r="CC108" s="7" t="s">
        <v>2084</v>
      </c>
      <c r="CD108" s="7" t="s">
        <v>622</v>
      </c>
      <c r="CE108" s="7" t="s">
        <v>2589</v>
      </c>
      <c r="CF108" s="7" t="s">
        <v>154</v>
      </c>
    </row>
    <row r="109" spans="1:84" ht="150">
      <c r="A109" t="s">
        <v>83</v>
      </c>
      <c r="B109" t="s">
        <v>2590</v>
      </c>
      <c r="C109" t="s">
        <v>85</v>
      </c>
      <c r="D109" t="s">
        <v>85</v>
      </c>
      <c r="E109" t="s">
        <v>85</v>
      </c>
      <c r="F109" t="s">
        <v>2591</v>
      </c>
      <c r="G109" t="s">
        <v>85</v>
      </c>
      <c r="H109" t="s">
        <v>85</v>
      </c>
      <c r="I109" s="5" t="s">
        <v>2592</v>
      </c>
      <c r="J109" t="s">
        <v>2593</v>
      </c>
      <c r="K109" t="s">
        <v>85</v>
      </c>
      <c r="L109" t="s">
        <v>85</v>
      </c>
      <c r="M109" t="s">
        <v>89</v>
      </c>
      <c r="N109" t="s">
        <v>90</v>
      </c>
      <c r="O109" t="s">
        <v>85</v>
      </c>
      <c r="P109" t="s">
        <v>85</v>
      </c>
      <c r="Q109" t="s">
        <v>85</v>
      </c>
      <c r="R109" t="s">
        <v>85</v>
      </c>
      <c r="S109" t="s">
        <v>85</v>
      </c>
      <c r="T109" t="s">
        <v>2594</v>
      </c>
      <c r="U109" t="s">
        <v>2595</v>
      </c>
      <c r="V109" s="5" t="s">
        <v>2596</v>
      </c>
      <c r="W109" t="s">
        <v>2597</v>
      </c>
      <c r="X109" t="s">
        <v>2598</v>
      </c>
      <c r="Y109" t="s">
        <v>2599</v>
      </c>
      <c r="Z109" t="s">
        <v>2600</v>
      </c>
      <c r="AA109" t="s">
        <v>2601</v>
      </c>
      <c r="AB109" t="s">
        <v>2602</v>
      </c>
      <c r="AC109" t="s">
        <v>85</v>
      </c>
      <c r="AD109" t="s">
        <v>85</v>
      </c>
      <c r="AE109" t="s">
        <v>85</v>
      </c>
      <c r="AF109" t="s">
        <v>85</v>
      </c>
      <c r="AG109">
        <v>68</v>
      </c>
      <c r="AH109">
        <v>1</v>
      </c>
      <c r="AI109">
        <v>1</v>
      </c>
      <c r="AJ109">
        <v>10</v>
      </c>
      <c r="AK109">
        <v>47</v>
      </c>
      <c r="AL109" t="s">
        <v>352</v>
      </c>
      <c r="AM109" t="s">
        <v>353</v>
      </c>
      <c r="AN109" t="s">
        <v>354</v>
      </c>
      <c r="AO109" t="s">
        <v>2603</v>
      </c>
      <c r="AP109" t="s">
        <v>2604</v>
      </c>
      <c r="AQ109" t="s">
        <v>85</v>
      </c>
      <c r="AR109" t="s">
        <v>2593</v>
      </c>
      <c r="AS109" t="s">
        <v>2605</v>
      </c>
      <c r="AT109" t="s">
        <v>714</v>
      </c>
      <c r="AU109" s="6">
        <v>2021</v>
      </c>
      <c r="AV109">
        <v>53</v>
      </c>
      <c r="AW109">
        <v>1</v>
      </c>
      <c r="AX109" t="s">
        <v>85</v>
      </c>
      <c r="AY109" t="s">
        <v>85</v>
      </c>
      <c r="AZ109" t="s">
        <v>85</v>
      </c>
      <c r="BA109" t="s">
        <v>85</v>
      </c>
      <c r="BB109">
        <v>122</v>
      </c>
      <c r="BC109">
        <v>133</v>
      </c>
      <c r="BD109" t="s">
        <v>85</v>
      </c>
      <c r="BE109" t="s">
        <v>2606</v>
      </c>
      <c r="BF109" t="str">
        <f>HYPERLINK("http://dx.doi.org/10.1111/area.12683","http://dx.doi.org/10.1111/area.12683")</f>
        <v>http://dx.doi.org/10.1111/area.12683</v>
      </c>
      <c r="BG109" t="s">
        <v>85</v>
      </c>
      <c r="BH109" t="s">
        <v>2607</v>
      </c>
      <c r="BI109">
        <v>12</v>
      </c>
      <c r="BJ109" s="6" t="s">
        <v>1338</v>
      </c>
      <c r="BK109" t="s">
        <v>146</v>
      </c>
      <c r="BL109" t="s">
        <v>1338</v>
      </c>
      <c r="BM109" t="s">
        <v>2608</v>
      </c>
      <c r="BN109" t="s">
        <v>85</v>
      </c>
      <c r="BO109" t="s">
        <v>85</v>
      </c>
      <c r="BP109" t="s">
        <v>85</v>
      </c>
      <c r="BQ109" t="s">
        <v>85</v>
      </c>
      <c r="BR109" t="s">
        <v>116</v>
      </c>
      <c r="BS109" t="s">
        <v>2609</v>
      </c>
      <c r="BT109" t="str">
        <f>HYPERLINK("https%3A%2F%2Fwww.webofscience.com%2Fwos%2Fwoscc%2Ffull-record%2FWOS:000597812900001","View Full Record in Web of Science")</f>
        <v>View Full Record in Web of Science</v>
      </c>
      <c r="BW109" s="6" t="s">
        <v>149</v>
      </c>
      <c r="BX109" s="10" t="s">
        <v>2610</v>
      </c>
      <c r="CA109" s="10" t="s">
        <v>2611</v>
      </c>
      <c r="CB109" s="10" t="s">
        <v>1802</v>
      </c>
      <c r="CC109" s="7" t="s">
        <v>2084</v>
      </c>
      <c r="CD109" s="7" t="s">
        <v>622</v>
      </c>
      <c r="CE109" s="7" t="s">
        <v>2589</v>
      </c>
      <c r="CF109" s="7" t="s">
        <v>2612</v>
      </c>
    </row>
    <row r="110" spans="1:84" ht="240">
      <c r="A110" t="s">
        <v>83</v>
      </c>
      <c r="B110" t="s">
        <v>2613</v>
      </c>
      <c r="C110" t="s">
        <v>85</v>
      </c>
      <c r="D110" t="s">
        <v>85</v>
      </c>
      <c r="E110" t="s">
        <v>85</v>
      </c>
      <c r="F110" t="s">
        <v>2614</v>
      </c>
      <c r="G110" t="s">
        <v>85</v>
      </c>
      <c r="H110" t="s">
        <v>85</v>
      </c>
      <c r="I110" s="5" t="s">
        <v>2615</v>
      </c>
      <c r="J110" t="s">
        <v>2616</v>
      </c>
      <c r="K110" t="s">
        <v>85</v>
      </c>
      <c r="L110" t="s">
        <v>85</v>
      </c>
      <c r="M110" t="s">
        <v>89</v>
      </c>
      <c r="N110" t="s">
        <v>90</v>
      </c>
      <c r="O110" t="s">
        <v>85</v>
      </c>
      <c r="P110" t="s">
        <v>85</v>
      </c>
      <c r="Q110" t="s">
        <v>85</v>
      </c>
      <c r="R110" t="s">
        <v>85</v>
      </c>
      <c r="S110" t="s">
        <v>85</v>
      </c>
      <c r="T110" t="s">
        <v>85</v>
      </c>
      <c r="U110" t="s">
        <v>2617</v>
      </c>
      <c r="V110" s="5" t="s">
        <v>2618</v>
      </c>
      <c r="W110" t="s">
        <v>2619</v>
      </c>
      <c r="X110" t="s">
        <v>2620</v>
      </c>
      <c r="Y110" t="s">
        <v>2621</v>
      </c>
      <c r="Z110" t="s">
        <v>2622</v>
      </c>
      <c r="AA110" t="s">
        <v>2623</v>
      </c>
      <c r="AB110" t="s">
        <v>2624</v>
      </c>
      <c r="AC110" t="s">
        <v>2625</v>
      </c>
      <c r="AD110" t="s">
        <v>2626</v>
      </c>
      <c r="AE110" t="s">
        <v>2627</v>
      </c>
      <c r="AF110" t="s">
        <v>85</v>
      </c>
      <c r="AG110">
        <v>74</v>
      </c>
      <c r="AH110">
        <v>16</v>
      </c>
      <c r="AI110">
        <v>16</v>
      </c>
      <c r="AJ110">
        <v>9</v>
      </c>
      <c r="AK110">
        <v>32</v>
      </c>
      <c r="AL110" t="s">
        <v>2628</v>
      </c>
      <c r="AM110" t="s">
        <v>2629</v>
      </c>
      <c r="AN110" t="s">
        <v>2630</v>
      </c>
      <c r="AO110" t="s">
        <v>2631</v>
      </c>
      <c r="AP110" t="s">
        <v>2632</v>
      </c>
      <c r="AQ110" t="s">
        <v>85</v>
      </c>
      <c r="AR110" t="s">
        <v>2633</v>
      </c>
      <c r="AS110" t="s">
        <v>2634</v>
      </c>
      <c r="AT110" t="s">
        <v>761</v>
      </c>
      <c r="AU110" s="6">
        <v>2020</v>
      </c>
      <c r="AV110">
        <v>128</v>
      </c>
      <c r="AW110">
        <v>12</v>
      </c>
      <c r="AX110" t="s">
        <v>85</v>
      </c>
      <c r="AY110" t="s">
        <v>85</v>
      </c>
      <c r="AZ110" t="s">
        <v>85</v>
      </c>
      <c r="BA110" t="s">
        <v>85</v>
      </c>
      <c r="BB110" t="s">
        <v>85</v>
      </c>
      <c r="BC110" t="s">
        <v>85</v>
      </c>
      <c r="BD110">
        <v>127011</v>
      </c>
      <c r="BE110" t="s">
        <v>2635</v>
      </c>
      <c r="BF110" t="str">
        <f>HYPERLINK("http://dx.doi.org/10.1289/EHP6729","http://dx.doi.org/10.1289/EHP6729")</f>
        <v>http://dx.doi.org/10.1289/EHP6729</v>
      </c>
      <c r="BG110" t="s">
        <v>85</v>
      </c>
      <c r="BH110" t="s">
        <v>85</v>
      </c>
      <c r="BI110">
        <v>9</v>
      </c>
      <c r="BJ110" s="6" t="s">
        <v>2636</v>
      </c>
      <c r="BK110" t="s">
        <v>171</v>
      </c>
      <c r="BL110" t="s">
        <v>2637</v>
      </c>
      <c r="BM110" t="s">
        <v>2638</v>
      </c>
      <c r="BN110">
        <v>33351671</v>
      </c>
      <c r="BO110" t="s">
        <v>1120</v>
      </c>
      <c r="BP110" t="s">
        <v>85</v>
      </c>
      <c r="BQ110" t="s">
        <v>85</v>
      </c>
      <c r="BR110" t="s">
        <v>116</v>
      </c>
      <c r="BS110" t="s">
        <v>2639</v>
      </c>
      <c r="BT110" t="str">
        <f>HYPERLINK("https%3A%2F%2Fwww.webofscience.com%2Fwos%2Fwoscc%2Ffull-record%2FWOS:000616373000013","View Full Record in Web of Science")</f>
        <v>View Full Record in Web of Science</v>
      </c>
      <c r="BW110" s="6" t="s">
        <v>491</v>
      </c>
      <c r="BX110" s="10" t="s">
        <v>2640</v>
      </c>
      <c r="BY110" s="10" t="s">
        <v>2641</v>
      </c>
      <c r="CA110" s="10" t="s">
        <v>2642</v>
      </c>
      <c r="CB110" s="10" t="s">
        <v>1802</v>
      </c>
      <c r="CC110" s="7" t="s">
        <v>2084</v>
      </c>
      <c r="CD110" s="7" t="s">
        <v>2643</v>
      </c>
      <c r="CE110" s="7" t="s">
        <v>554</v>
      </c>
      <c r="CF110" s="7" t="s">
        <v>1924</v>
      </c>
    </row>
    <row r="111" spans="1:84" ht="180">
      <c r="A111" t="s">
        <v>83</v>
      </c>
      <c r="B111" t="s">
        <v>2644</v>
      </c>
      <c r="C111" t="s">
        <v>85</v>
      </c>
      <c r="D111" t="s">
        <v>85</v>
      </c>
      <c r="E111" t="s">
        <v>85</v>
      </c>
      <c r="F111" t="s">
        <v>2645</v>
      </c>
      <c r="G111" t="s">
        <v>85</v>
      </c>
      <c r="H111" t="s">
        <v>85</v>
      </c>
      <c r="I111" s="5" t="s">
        <v>2646</v>
      </c>
      <c r="J111" t="s">
        <v>158</v>
      </c>
      <c r="K111" t="s">
        <v>85</v>
      </c>
      <c r="L111" t="s">
        <v>85</v>
      </c>
      <c r="M111" t="s">
        <v>89</v>
      </c>
      <c r="N111" t="s">
        <v>90</v>
      </c>
      <c r="O111" t="s">
        <v>85</v>
      </c>
      <c r="P111" t="s">
        <v>85</v>
      </c>
      <c r="Q111" t="s">
        <v>85</v>
      </c>
      <c r="R111" t="s">
        <v>85</v>
      </c>
      <c r="S111" t="s">
        <v>85</v>
      </c>
      <c r="T111" t="s">
        <v>2647</v>
      </c>
      <c r="U111" t="s">
        <v>2648</v>
      </c>
      <c r="V111" s="5" t="s">
        <v>2649</v>
      </c>
      <c r="W111" t="s">
        <v>2650</v>
      </c>
      <c r="X111" t="s">
        <v>2651</v>
      </c>
      <c r="Y111" t="s">
        <v>2652</v>
      </c>
      <c r="Z111" t="s">
        <v>2653</v>
      </c>
      <c r="AA111" t="s">
        <v>85</v>
      </c>
      <c r="AB111" t="s">
        <v>2654</v>
      </c>
      <c r="AC111" t="s">
        <v>2655</v>
      </c>
      <c r="AD111" t="s">
        <v>851</v>
      </c>
      <c r="AE111" t="s">
        <v>2656</v>
      </c>
      <c r="AF111" t="s">
        <v>85</v>
      </c>
      <c r="AG111">
        <v>78</v>
      </c>
      <c r="AH111">
        <v>4</v>
      </c>
      <c r="AI111">
        <v>4</v>
      </c>
      <c r="AJ111">
        <v>5</v>
      </c>
      <c r="AK111">
        <v>27</v>
      </c>
      <c r="AL111" t="s">
        <v>137</v>
      </c>
      <c r="AM111" t="s">
        <v>138</v>
      </c>
      <c r="AN111" t="s">
        <v>139</v>
      </c>
      <c r="AO111" t="s">
        <v>85</v>
      </c>
      <c r="AP111" t="s">
        <v>166</v>
      </c>
      <c r="AQ111" t="s">
        <v>85</v>
      </c>
      <c r="AR111" t="s">
        <v>167</v>
      </c>
      <c r="AS111" t="s">
        <v>168</v>
      </c>
      <c r="AT111" t="s">
        <v>761</v>
      </c>
      <c r="AU111" s="6">
        <v>2020</v>
      </c>
      <c r="AV111">
        <v>12</v>
      </c>
      <c r="AW111">
        <v>24</v>
      </c>
      <c r="AX111" t="s">
        <v>85</v>
      </c>
      <c r="AY111" t="s">
        <v>85</v>
      </c>
      <c r="AZ111" t="s">
        <v>85</v>
      </c>
      <c r="BA111" t="s">
        <v>85</v>
      </c>
      <c r="BB111" t="s">
        <v>85</v>
      </c>
      <c r="BC111" t="s">
        <v>85</v>
      </c>
      <c r="BD111">
        <v>10656</v>
      </c>
      <c r="BE111" t="s">
        <v>2657</v>
      </c>
      <c r="BF111" t="str">
        <f>HYPERLINK("http://dx.doi.org/10.3390/su122410656","http://dx.doi.org/10.3390/su122410656")</f>
        <v>http://dx.doi.org/10.3390/su122410656</v>
      </c>
      <c r="BG111" t="s">
        <v>85</v>
      </c>
      <c r="BH111" t="s">
        <v>85</v>
      </c>
      <c r="BI111">
        <v>37</v>
      </c>
      <c r="BJ111" s="6" t="s">
        <v>170</v>
      </c>
      <c r="BK111" t="s">
        <v>171</v>
      </c>
      <c r="BL111" t="s">
        <v>172</v>
      </c>
      <c r="BM111" t="s">
        <v>2658</v>
      </c>
      <c r="BN111" t="s">
        <v>85</v>
      </c>
      <c r="BO111" t="s">
        <v>2659</v>
      </c>
      <c r="BP111" t="s">
        <v>85</v>
      </c>
      <c r="BQ111" t="s">
        <v>85</v>
      </c>
      <c r="BR111" t="s">
        <v>116</v>
      </c>
      <c r="BS111" t="s">
        <v>2660</v>
      </c>
      <c r="BT111" t="str">
        <f>HYPERLINK("https%3A%2F%2Fwww.webofscience.com%2Fwos%2Fwoscc%2Ffull-record%2FWOS:000603241000001","View Full Record in Web of Science")</f>
        <v>View Full Record in Web of Science</v>
      </c>
      <c r="BW111" s="6" t="s">
        <v>149</v>
      </c>
      <c r="BX111" s="10" t="s">
        <v>2661</v>
      </c>
      <c r="BY111" s="10" t="s">
        <v>2662</v>
      </c>
      <c r="CA111" s="10" t="s">
        <v>2663</v>
      </c>
      <c r="CB111" s="10" t="s">
        <v>1802</v>
      </c>
      <c r="CC111" s="7" t="s">
        <v>2664</v>
      </c>
      <c r="CD111" s="7" t="s">
        <v>1019</v>
      </c>
      <c r="CE111" s="7" t="s">
        <v>2665</v>
      </c>
      <c r="CF111" s="7" t="s">
        <v>177</v>
      </c>
    </row>
    <row r="112" spans="1:84" ht="240">
      <c r="A112" t="s">
        <v>83</v>
      </c>
      <c r="B112" t="s">
        <v>2666</v>
      </c>
      <c r="C112" t="s">
        <v>85</v>
      </c>
      <c r="D112" t="s">
        <v>85</v>
      </c>
      <c r="E112" t="s">
        <v>85</v>
      </c>
      <c r="F112" t="s">
        <v>2667</v>
      </c>
      <c r="G112" t="s">
        <v>85</v>
      </c>
      <c r="H112" t="s">
        <v>85</v>
      </c>
      <c r="I112" s="5" t="s">
        <v>2668</v>
      </c>
      <c r="J112" t="s">
        <v>1490</v>
      </c>
      <c r="K112" t="s">
        <v>85</v>
      </c>
      <c r="L112" t="s">
        <v>85</v>
      </c>
      <c r="M112" t="s">
        <v>89</v>
      </c>
      <c r="N112" t="s">
        <v>90</v>
      </c>
      <c r="O112" t="s">
        <v>85</v>
      </c>
      <c r="P112" t="s">
        <v>85</v>
      </c>
      <c r="Q112" t="s">
        <v>85</v>
      </c>
      <c r="R112" t="s">
        <v>85</v>
      </c>
      <c r="S112" t="s">
        <v>85</v>
      </c>
      <c r="T112" t="s">
        <v>2669</v>
      </c>
      <c r="U112" t="s">
        <v>2670</v>
      </c>
      <c r="V112" s="5" t="s">
        <v>2671</v>
      </c>
      <c r="W112" t="s">
        <v>2672</v>
      </c>
      <c r="X112" t="s">
        <v>2673</v>
      </c>
      <c r="Y112" t="s">
        <v>2674</v>
      </c>
      <c r="Z112" t="s">
        <v>2675</v>
      </c>
      <c r="AA112" t="s">
        <v>2676</v>
      </c>
      <c r="AB112" t="s">
        <v>2677</v>
      </c>
      <c r="AC112" t="s">
        <v>2678</v>
      </c>
      <c r="AD112" t="s">
        <v>2679</v>
      </c>
      <c r="AE112" t="s">
        <v>2680</v>
      </c>
      <c r="AF112" t="s">
        <v>85</v>
      </c>
      <c r="AG112">
        <v>85</v>
      </c>
      <c r="AH112">
        <v>13</v>
      </c>
      <c r="AI112">
        <v>14</v>
      </c>
      <c r="AJ112">
        <v>4</v>
      </c>
      <c r="AK112">
        <v>36</v>
      </c>
      <c r="AL112" t="s">
        <v>1503</v>
      </c>
      <c r="AM112" t="s">
        <v>1504</v>
      </c>
      <c r="AN112" t="s">
        <v>1505</v>
      </c>
      <c r="AO112" t="s">
        <v>1506</v>
      </c>
      <c r="AP112" t="s">
        <v>1507</v>
      </c>
      <c r="AQ112" t="s">
        <v>85</v>
      </c>
      <c r="AR112" t="s">
        <v>1508</v>
      </c>
      <c r="AS112" t="s">
        <v>1509</v>
      </c>
      <c r="AT112" t="s">
        <v>887</v>
      </c>
      <c r="AU112" s="6">
        <v>2020</v>
      </c>
      <c r="AV112">
        <v>190</v>
      </c>
      <c r="AW112" t="s">
        <v>85</v>
      </c>
      <c r="AX112" t="s">
        <v>85</v>
      </c>
      <c r="AY112" t="s">
        <v>85</v>
      </c>
      <c r="AZ112" t="s">
        <v>85</v>
      </c>
      <c r="BA112" t="s">
        <v>85</v>
      </c>
      <c r="BB112" t="s">
        <v>85</v>
      </c>
      <c r="BC112" t="s">
        <v>85</v>
      </c>
      <c r="BD112">
        <v>109899</v>
      </c>
      <c r="BE112" t="s">
        <v>2681</v>
      </c>
      <c r="BF112" t="str">
        <f>HYPERLINK("http://dx.doi.org/10.1016/j.envres.2020.109899","http://dx.doi.org/10.1016/j.envres.2020.109899")</f>
        <v>http://dx.doi.org/10.1016/j.envres.2020.109899</v>
      </c>
      <c r="BG112" t="s">
        <v>85</v>
      </c>
      <c r="BH112" t="s">
        <v>85</v>
      </c>
      <c r="BI112">
        <v>13</v>
      </c>
      <c r="BJ112" s="6" t="s">
        <v>889</v>
      </c>
      <c r="BK112" t="s">
        <v>171</v>
      </c>
      <c r="BL112" t="s">
        <v>890</v>
      </c>
      <c r="BM112" t="s">
        <v>2682</v>
      </c>
      <c r="BN112">
        <v>32750550</v>
      </c>
      <c r="BO112" t="s">
        <v>1513</v>
      </c>
      <c r="BP112" t="s">
        <v>85</v>
      </c>
      <c r="BQ112" t="s">
        <v>85</v>
      </c>
      <c r="BR112" t="s">
        <v>116</v>
      </c>
      <c r="BS112" t="s">
        <v>2683</v>
      </c>
      <c r="BT112" t="str">
        <f>HYPERLINK("https%3A%2F%2Fwww.webofscience.com%2Fwos%2Fwoscc%2Ffull-record%2FWOS:000579068900004","View Full Record in Web of Science")</f>
        <v>View Full Record in Web of Science</v>
      </c>
      <c r="BW112" s="6" t="s">
        <v>365</v>
      </c>
      <c r="BX112" s="10" t="s">
        <v>2684</v>
      </c>
      <c r="BY112" s="10" t="s">
        <v>289</v>
      </c>
      <c r="BZ112" t="s">
        <v>2685</v>
      </c>
      <c r="CB112" s="10" t="s">
        <v>1802</v>
      </c>
      <c r="CC112" s="7" t="s">
        <v>2084</v>
      </c>
      <c r="CD112" s="7" t="s">
        <v>2686</v>
      </c>
      <c r="CE112" s="7" t="s">
        <v>554</v>
      </c>
      <c r="CF112" s="7" t="s">
        <v>1145</v>
      </c>
    </row>
    <row r="113" spans="1:84" ht="135">
      <c r="A113" t="s">
        <v>83</v>
      </c>
      <c r="B113" t="s">
        <v>2687</v>
      </c>
      <c r="C113" t="s">
        <v>85</v>
      </c>
      <c r="D113" t="s">
        <v>85</v>
      </c>
      <c r="E113" t="s">
        <v>85</v>
      </c>
      <c r="F113" t="s">
        <v>2688</v>
      </c>
      <c r="G113" t="s">
        <v>85</v>
      </c>
      <c r="H113" t="s">
        <v>85</v>
      </c>
      <c r="I113" s="5" t="s">
        <v>2689</v>
      </c>
      <c r="J113" t="s">
        <v>874</v>
      </c>
      <c r="K113" t="s">
        <v>85</v>
      </c>
      <c r="L113" t="s">
        <v>85</v>
      </c>
      <c r="M113" t="s">
        <v>89</v>
      </c>
      <c r="N113" t="s">
        <v>90</v>
      </c>
      <c r="O113" t="s">
        <v>85</v>
      </c>
      <c r="P113" t="s">
        <v>85</v>
      </c>
      <c r="Q113" t="s">
        <v>85</v>
      </c>
      <c r="R113" t="s">
        <v>85</v>
      </c>
      <c r="S113" t="s">
        <v>85</v>
      </c>
      <c r="T113" t="s">
        <v>2690</v>
      </c>
      <c r="U113" t="s">
        <v>2691</v>
      </c>
      <c r="V113" s="5" t="s">
        <v>2692</v>
      </c>
      <c r="W113" t="s">
        <v>2693</v>
      </c>
      <c r="X113" t="s">
        <v>2694</v>
      </c>
      <c r="Y113" t="s">
        <v>2695</v>
      </c>
      <c r="Z113" t="s">
        <v>2696</v>
      </c>
      <c r="AA113" t="s">
        <v>2697</v>
      </c>
      <c r="AB113" t="s">
        <v>2698</v>
      </c>
      <c r="AC113" t="s">
        <v>85</v>
      </c>
      <c r="AD113" t="s">
        <v>85</v>
      </c>
      <c r="AE113" t="s">
        <v>85</v>
      </c>
      <c r="AF113" t="s">
        <v>85</v>
      </c>
      <c r="AG113">
        <v>44</v>
      </c>
      <c r="AH113">
        <v>19</v>
      </c>
      <c r="AI113">
        <v>20</v>
      </c>
      <c r="AJ113">
        <v>13</v>
      </c>
      <c r="AK113">
        <v>52</v>
      </c>
      <c r="AL113" t="s">
        <v>137</v>
      </c>
      <c r="AM113" t="s">
        <v>138</v>
      </c>
      <c r="AN113" t="s">
        <v>139</v>
      </c>
      <c r="AO113" t="s">
        <v>85</v>
      </c>
      <c r="AP113" t="s">
        <v>884</v>
      </c>
      <c r="AQ113" t="s">
        <v>85</v>
      </c>
      <c r="AR113" t="s">
        <v>885</v>
      </c>
      <c r="AS113" t="s">
        <v>886</v>
      </c>
      <c r="AT113" t="s">
        <v>200</v>
      </c>
      <c r="AU113" s="6">
        <v>2020</v>
      </c>
      <c r="AV113">
        <v>17</v>
      </c>
      <c r="AW113">
        <v>19</v>
      </c>
      <c r="AX113" t="s">
        <v>85</v>
      </c>
      <c r="AY113" t="s">
        <v>85</v>
      </c>
      <c r="AZ113" t="s">
        <v>85</v>
      </c>
      <c r="BA113" t="s">
        <v>85</v>
      </c>
      <c r="BB113" t="s">
        <v>85</v>
      </c>
      <c r="BC113" t="s">
        <v>85</v>
      </c>
      <c r="BD113">
        <v>7014</v>
      </c>
      <c r="BE113" t="s">
        <v>2699</v>
      </c>
      <c r="BF113" t="str">
        <f>HYPERLINK("http://dx.doi.org/10.3390/ijerph17197014","http://dx.doi.org/10.3390/ijerph17197014")</f>
        <v>http://dx.doi.org/10.3390/ijerph17197014</v>
      </c>
      <c r="BG113" t="s">
        <v>85</v>
      </c>
      <c r="BH113" t="s">
        <v>85</v>
      </c>
      <c r="BI113">
        <v>9</v>
      </c>
      <c r="BJ113" s="6" t="s">
        <v>889</v>
      </c>
      <c r="BK113" t="s">
        <v>171</v>
      </c>
      <c r="BL113" t="s">
        <v>890</v>
      </c>
      <c r="BM113" t="s">
        <v>2700</v>
      </c>
      <c r="BN113">
        <v>32992786</v>
      </c>
      <c r="BO113" t="s">
        <v>1280</v>
      </c>
      <c r="BP113" t="s">
        <v>85</v>
      </c>
      <c r="BQ113" t="s">
        <v>85</v>
      </c>
      <c r="BR113" t="s">
        <v>116</v>
      </c>
      <c r="BS113" t="s">
        <v>2701</v>
      </c>
      <c r="BT113" t="str">
        <f>HYPERLINK("https%3A%2F%2Fwww.webofscience.com%2Fwos%2Fwoscc%2Ffull-record%2FWOS:000586499200001","View Full Record in Web of Science")</f>
        <v>View Full Record in Web of Science</v>
      </c>
      <c r="BW113" s="6" t="s">
        <v>149</v>
      </c>
      <c r="BX113" s="10" t="s">
        <v>2702</v>
      </c>
      <c r="BY113" s="10" t="s">
        <v>151</v>
      </c>
      <c r="CA113" s="10" t="s">
        <v>2703</v>
      </c>
      <c r="CB113" s="10" t="s">
        <v>1802</v>
      </c>
      <c r="CC113" s="7" t="s">
        <v>2084</v>
      </c>
      <c r="CD113" s="7" t="s">
        <v>622</v>
      </c>
      <c r="CE113" s="7" t="s">
        <v>554</v>
      </c>
      <c r="CF113" s="7" t="s">
        <v>1965</v>
      </c>
    </row>
    <row r="114" spans="1:84" ht="195">
      <c r="A114" t="s">
        <v>83</v>
      </c>
      <c r="B114" t="s">
        <v>2704</v>
      </c>
      <c r="C114" t="s">
        <v>85</v>
      </c>
      <c r="D114" t="s">
        <v>85</v>
      </c>
      <c r="E114" t="s">
        <v>85</v>
      </c>
      <c r="F114" t="s">
        <v>2705</v>
      </c>
      <c r="G114" t="s">
        <v>85</v>
      </c>
      <c r="H114" t="s">
        <v>85</v>
      </c>
      <c r="I114" s="5" t="s">
        <v>2706</v>
      </c>
      <c r="J114" t="s">
        <v>2707</v>
      </c>
      <c r="K114" t="s">
        <v>85</v>
      </c>
      <c r="L114" t="s">
        <v>85</v>
      </c>
      <c r="M114" t="s">
        <v>89</v>
      </c>
      <c r="N114" t="s">
        <v>90</v>
      </c>
      <c r="O114" t="s">
        <v>85</v>
      </c>
      <c r="P114" t="s">
        <v>85</v>
      </c>
      <c r="Q114" t="s">
        <v>85</v>
      </c>
      <c r="R114" t="s">
        <v>85</v>
      </c>
      <c r="S114" t="s">
        <v>85</v>
      </c>
      <c r="T114" t="s">
        <v>2708</v>
      </c>
      <c r="U114" t="s">
        <v>2709</v>
      </c>
      <c r="V114" s="5" t="s">
        <v>2710</v>
      </c>
      <c r="W114" t="s">
        <v>2711</v>
      </c>
      <c r="X114" t="s">
        <v>2712</v>
      </c>
      <c r="Y114" t="s">
        <v>2713</v>
      </c>
      <c r="Z114" t="s">
        <v>2714</v>
      </c>
      <c r="AA114" t="s">
        <v>85</v>
      </c>
      <c r="AB114" t="s">
        <v>2715</v>
      </c>
      <c r="AC114" t="s">
        <v>2716</v>
      </c>
      <c r="AD114" t="s">
        <v>2717</v>
      </c>
      <c r="AE114" t="s">
        <v>2718</v>
      </c>
      <c r="AF114" t="s">
        <v>85</v>
      </c>
      <c r="AG114">
        <v>64</v>
      </c>
      <c r="AH114">
        <v>30</v>
      </c>
      <c r="AI114">
        <v>31</v>
      </c>
      <c r="AJ114">
        <v>13</v>
      </c>
      <c r="AK114">
        <v>64</v>
      </c>
      <c r="AL114" t="s">
        <v>193</v>
      </c>
      <c r="AM114" t="s">
        <v>194</v>
      </c>
      <c r="AN114" t="s">
        <v>195</v>
      </c>
      <c r="AO114" t="s">
        <v>2719</v>
      </c>
      <c r="AP114" t="s">
        <v>2720</v>
      </c>
      <c r="AQ114" t="s">
        <v>85</v>
      </c>
      <c r="AR114" t="s">
        <v>2721</v>
      </c>
      <c r="AS114" t="s">
        <v>2722</v>
      </c>
      <c r="AT114" t="s">
        <v>200</v>
      </c>
      <c r="AU114" s="6">
        <v>2020</v>
      </c>
      <c r="AV114">
        <v>61</v>
      </c>
      <c r="AW114" t="s">
        <v>85</v>
      </c>
      <c r="AX114" t="s">
        <v>85</v>
      </c>
      <c r="AY114" t="s">
        <v>85</v>
      </c>
      <c r="AZ114" t="s">
        <v>85</v>
      </c>
      <c r="BA114" t="s">
        <v>85</v>
      </c>
      <c r="BB114" t="s">
        <v>85</v>
      </c>
      <c r="BC114" t="s">
        <v>85</v>
      </c>
      <c r="BD114">
        <v>102341</v>
      </c>
      <c r="BE114" t="s">
        <v>2723</v>
      </c>
      <c r="BF114" t="str">
        <f>HYPERLINK("http://dx.doi.org/10.1016/j.scs.2020.102341","http://dx.doi.org/10.1016/j.scs.2020.102341")</f>
        <v>http://dx.doi.org/10.1016/j.scs.2020.102341</v>
      </c>
      <c r="BG114" t="s">
        <v>85</v>
      </c>
      <c r="BH114" t="s">
        <v>85</v>
      </c>
      <c r="BI114">
        <v>13</v>
      </c>
      <c r="BJ114" s="6" t="s">
        <v>2724</v>
      </c>
      <c r="BK114" t="s">
        <v>171</v>
      </c>
      <c r="BL114" t="s">
        <v>2725</v>
      </c>
      <c r="BM114" t="s">
        <v>2726</v>
      </c>
      <c r="BN114" t="s">
        <v>85</v>
      </c>
      <c r="BO114" t="s">
        <v>85</v>
      </c>
      <c r="BP114" t="s">
        <v>85</v>
      </c>
      <c r="BQ114" t="s">
        <v>85</v>
      </c>
      <c r="BR114" t="s">
        <v>116</v>
      </c>
      <c r="BS114" t="s">
        <v>2727</v>
      </c>
      <c r="BT114" t="str">
        <f>HYPERLINK("https%3A%2F%2Fwww.webofscience.com%2Fwos%2Fwoscc%2Ffull-record%2FWOS:000573582000004","View Full Record in Web of Science")</f>
        <v>View Full Record in Web of Science</v>
      </c>
      <c r="BW114" s="6" t="s">
        <v>149</v>
      </c>
      <c r="BX114" s="10" t="s">
        <v>2728</v>
      </c>
      <c r="BY114" s="10" t="s">
        <v>289</v>
      </c>
      <c r="CA114" s="10" t="s">
        <v>2729</v>
      </c>
      <c r="CB114" s="10" t="s">
        <v>1802</v>
      </c>
      <c r="CC114" s="7" t="s">
        <v>2084</v>
      </c>
      <c r="CD114" s="7" t="s">
        <v>622</v>
      </c>
      <c r="CE114" s="7" t="s">
        <v>554</v>
      </c>
      <c r="CF114" s="7" t="s">
        <v>2730</v>
      </c>
    </row>
    <row r="115" spans="1:84" ht="285">
      <c r="A115" t="s">
        <v>83</v>
      </c>
      <c r="B115" t="s">
        <v>2731</v>
      </c>
      <c r="C115" t="s">
        <v>85</v>
      </c>
      <c r="D115" t="s">
        <v>85</v>
      </c>
      <c r="E115" t="s">
        <v>85</v>
      </c>
      <c r="F115" t="s">
        <v>2732</v>
      </c>
      <c r="G115" t="s">
        <v>85</v>
      </c>
      <c r="H115" t="s">
        <v>85</v>
      </c>
      <c r="I115" s="5" t="s">
        <v>2733</v>
      </c>
      <c r="J115" t="s">
        <v>2198</v>
      </c>
      <c r="K115" t="s">
        <v>85</v>
      </c>
      <c r="L115" t="s">
        <v>85</v>
      </c>
      <c r="M115" t="s">
        <v>89</v>
      </c>
      <c r="N115" t="s">
        <v>90</v>
      </c>
      <c r="O115" t="s">
        <v>85</v>
      </c>
      <c r="P115" t="s">
        <v>85</v>
      </c>
      <c r="Q115" t="s">
        <v>85</v>
      </c>
      <c r="R115" t="s">
        <v>85</v>
      </c>
      <c r="S115" t="s">
        <v>85</v>
      </c>
      <c r="T115" t="s">
        <v>2734</v>
      </c>
      <c r="U115" t="s">
        <v>2735</v>
      </c>
      <c r="V115" s="5" t="s">
        <v>2736</v>
      </c>
      <c r="W115" t="s">
        <v>2737</v>
      </c>
      <c r="X115" t="s">
        <v>2738</v>
      </c>
      <c r="Y115" t="s">
        <v>2739</v>
      </c>
      <c r="Z115" t="s">
        <v>2740</v>
      </c>
      <c r="AA115" t="s">
        <v>2741</v>
      </c>
      <c r="AB115" t="s">
        <v>2742</v>
      </c>
      <c r="AC115" t="s">
        <v>2743</v>
      </c>
      <c r="AD115" t="s">
        <v>2743</v>
      </c>
      <c r="AE115" t="s">
        <v>2744</v>
      </c>
      <c r="AF115" t="s">
        <v>85</v>
      </c>
      <c r="AG115">
        <v>173</v>
      </c>
      <c r="AH115">
        <v>7</v>
      </c>
      <c r="AI115">
        <v>7</v>
      </c>
      <c r="AJ115">
        <v>0</v>
      </c>
      <c r="AK115">
        <v>31</v>
      </c>
      <c r="AL115" t="s">
        <v>225</v>
      </c>
      <c r="AM115" t="s">
        <v>226</v>
      </c>
      <c r="AN115" t="s">
        <v>227</v>
      </c>
      <c r="AO115" t="s">
        <v>85</v>
      </c>
      <c r="AP115" t="s">
        <v>2209</v>
      </c>
      <c r="AQ115" t="s">
        <v>85</v>
      </c>
      <c r="AR115" t="s">
        <v>2210</v>
      </c>
      <c r="AS115" t="s">
        <v>2211</v>
      </c>
      <c r="AT115" t="s">
        <v>2745</v>
      </c>
      <c r="AU115" s="6">
        <v>2020</v>
      </c>
      <c r="AV115">
        <v>8</v>
      </c>
      <c r="AW115" t="s">
        <v>85</v>
      </c>
      <c r="AX115" t="s">
        <v>85</v>
      </c>
      <c r="AY115" t="s">
        <v>85</v>
      </c>
      <c r="AZ115" t="s">
        <v>85</v>
      </c>
      <c r="BA115" t="s">
        <v>85</v>
      </c>
      <c r="BB115" t="s">
        <v>85</v>
      </c>
      <c r="BC115" t="s">
        <v>85</v>
      </c>
      <c r="BD115">
        <v>573724</v>
      </c>
      <c r="BE115" t="s">
        <v>2746</v>
      </c>
      <c r="BF115" t="str">
        <f>HYPERLINK("http://dx.doi.org/10.3389/fenvs.2020.573724","http://dx.doi.org/10.3389/fenvs.2020.573724")</f>
        <v>http://dx.doi.org/10.3389/fenvs.2020.573724</v>
      </c>
      <c r="BG115" t="s">
        <v>85</v>
      </c>
      <c r="BH115" t="s">
        <v>85</v>
      </c>
      <c r="BI115">
        <v>22</v>
      </c>
      <c r="BJ115" s="6" t="s">
        <v>111</v>
      </c>
      <c r="BK115" t="s">
        <v>171</v>
      </c>
      <c r="BL115" t="s">
        <v>113</v>
      </c>
      <c r="BM115" t="s">
        <v>2747</v>
      </c>
      <c r="BN115" t="s">
        <v>85</v>
      </c>
      <c r="BO115" t="s">
        <v>236</v>
      </c>
      <c r="BP115" t="s">
        <v>85</v>
      </c>
      <c r="BQ115" t="s">
        <v>85</v>
      </c>
      <c r="BR115" t="s">
        <v>116</v>
      </c>
      <c r="BS115" t="s">
        <v>2748</v>
      </c>
      <c r="BT115" t="str">
        <f>HYPERLINK("https%3A%2F%2Fwww.webofscience.com%2Fwos%2Fwoscc%2Ffull-record%2FWOS:000579588300001","View Full Record in Web of Science")</f>
        <v>View Full Record in Web of Science</v>
      </c>
      <c r="BW115" s="6" t="s">
        <v>149</v>
      </c>
      <c r="BX115" s="10" t="s">
        <v>2749</v>
      </c>
      <c r="BY115" s="10" t="s">
        <v>151</v>
      </c>
      <c r="CA115" s="10" t="s">
        <v>2750</v>
      </c>
      <c r="CB115" s="10" t="s">
        <v>1802</v>
      </c>
      <c r="CC115" s="7" t="s">
        <v>2084</v>
      </c>
      <c r="CD115" s="7" t="s">
        <v>694</v>
      </c>
      <c r="CE115" s="7" t="s">
        <v>2589</v>
      </c>
      <c r="CF115" s="7" t="s">
        <v>2751</v>
      </c>
    </row>
    <row r="116" spans="1:84" ht="195">
      <c r="A116" t="s">
        <v>83</v>
      </c>
      <c r="B116" t="s">
        <v>2752</v>
      </c>
      <c r="C116" t="s">
        <v>85</v>
      </c>
      <c r="D116" t="s">
        <v>85</v>
      </c>
      <c r="E116" t="s">
        <v>85</v>
      </c>
      <c r="F116" t="s">
        <v>2753</v>
      </c>
      <c r="G116" t="s">
        <v>85</v>
      </c>
      <c r="H116" t="s">
        <v>85</v>
      </c>
      <c r="I116" s="5" t="s">
        <v>2754</v>
      </c>
      <c r="J116" t="s">
        <v>2755</v>
      </c>
      <c r="K116" t="s">
        <v>85</v>
      </c>
      <c r="L116" t="s">
        <v>85</v>
      </c>
      <c r="M116" t="s">
        <v>89</v>
      </c>
      <c r="N116" t="s">
        <v>90</v>
      </c>
      <c r="O116" t="s">
        <v>85</v>
      </c>
      <c r="P116" t="s">
        <v>85</v>
      </c>
      <c r="Q116" t="s">
        <v>85</v>
      </c>
      <c r="R116" t="s">
        <v>85</v>
      </c>
      <c r="S116" t="s">
        <v>85</v>
      </c>
      <c r="T116" t="s">
        <v>2756</v>
      </c>
      <c r="U116" t="s">
        <v>2757</v>
      </c>
      <c r="V116" s="5" t="s">
        <v>2758</v>
      </c>
      <c r="W116" t="s">
        <v>2759</v>
      </c>
      <c r="X116" t="s">
        <v>2760</v>
      </c>
      <c r="Y116" t="s">
        <v>2761</v>
      </c>
      <c r="Z116" t="s">
        <v>2762</v>
      </c>
      <c r="AA116" t="s">
        <v>85</v>
      </c>
      <c r="AB116" t="s">
        <v>85</v>
      </c>
      <c r="AC116" t="s">
        <v>85</v>
      </c>
      <c r="AD116" t="s">
        <v>85</v>
      </c>
      <c r="AE116" t="s">
        <v>85</v>
      </c>
      <c r="AF116" t="s">
        <v>85</v>
      </c>
      <c r="AG116">
        <v>39</v>
      </c>
      <c r="AH116">
        <v>6</v>
      </c>
      <c r="AI116">
        <v>6</v>
      </c>
      <c r="AJ116">
        <v>1</v>
      </c>
      <c r="AK116">
        <v>6</v>
      </c>
      <c r="AL116" t="s">
        <v>2763</v>
      </c>
      <c r="AM116" t="s">
        <v>2764</v>
      </c>
      <c r="AN116" t="s">
        <v>2765</v>
      </c>
      <c r="AO116" t="s">
        <v>2766</v>
      </c>
      <c r="AP116" t="s">
        <v>85</v>
      </c>
      <c r="AQ116" t="s">
        <v>85</v>
      </c>
      <c r="AR116" t="s">
        <v>2755</v>
      </c>
      <c r="AS116" t="s">
        <v>2767</v>
      </c>
      <c r="AT116" t="s">
        <v>2272</v>
      </c>
      <c r="AU116" s="6">
        <v>2020</v>
      </c>
      <c r="AV116">
        <v>12</v>
      </c>
      <c r="AW116">
        <v>3</v>
      </c>
      <c r="AX116" t="s">
        <v>85</v>
      </c>
      <c r="AY116" t="s">
        <v>85</v>
      </c>
      <c r="AZ116" t="s">
        <v>485</v>
      </c>
      <c r="BA116" t="s">
        <v>85</v>
      </c>
      <c r="BB116">
        <v>188</v>
      </c>
      <c r="BC116">
        <v>194</v>
      </c>
      <c r="BD116" t="s">
        <v>85</v>
      </c>
      <c r="BE116" t="s">
        <v>2768</v>
      </c>
      <c r="BF116" t="str">
        <f>HYPERLINK("http://dx.doi.org/10.1089/eco.2020.0011","http://dx.doi.org/10.1089/eco.2020.0011")</f>
        <v>http://dx.doi.org/10.1089/eco.2020.0011</v>
      </c>
      <c r="BG116" t="s">
        <v>85</v>
      </c>
      <c r="BH116" t="s">
        <v>85</v>
      </c>
      <c r="BI116">
        <v>7</v>
      </c>
      <c r="BJ116" s="6" t="s">
        <v>233</v>
      </c>
      <c r="BK116" t="s">
        <v>1778</v>
      </c>
      <c r="BL116" t="s">
        <v>234</v>
      </c>
      <c r="BM116" t="s">
        <v>2769</v>
      </c>
      <c r="BN116" t="s">
        <v>85</v>
      </c>
      <c r="BO116" t="s">
        <v>85</v>
      </c>
      <c r="BP116" t="s">
        <v>85</v>
      </c>
      <c r="BQ116" t="s">
        <v>85</v>
      </c>
      <c r="BR116" t="s">
        <v>116</v>
      </c>
      <c r="BS116" t="s">
        <v>2770</v>
      </c>
      <c r="BT116" t="str">
        <f>HYPERLINK("https%3A%2F%2Fwww.webofscience.com%2Fwos%2Fwoscc%2Ffull-record%2FWOS:000571062300006","View Full Record in Web of Science")</f>
        <v>View Full Record in Web of Science</v>
      </c>
      <c r="BW116" s="6" t="s">
        <v>491</v>
      </c>
      <c r="BX116" s="10" t="s">
        <v>2771</v>
      </c>
      <c r="BY116" s="10" t="s">
        <v>151</v>
      </c>
      <c r="CA116" s="10" t="s">
        <v>1123</v>
      </c>
      <c r="CB116" s="10" t="s">
        <v>1802</v>
      </c>
      <c r="CC116" s="7" t="s">
        <v>495</v>
      </c>
      <c r="CF116" s="7" t="s">
        <v>2772</v>
      </c>
    </row>
    <row r="117" spans="1:84" ht="225">
      <c r="A117" t="s">
        <v>83</v>
      </c>
      <c r="B117" t="s">
        <v>2773</v>
      </c>
      <c r="C117" t="s">
        <v>85</v>
      </c>
      <c r="D117" t="s">
        <v>85</v>
      </c>
      <c r="E117" t="s">
        <v>85</v>
      </c>
      <c r="F117" t="s">
        <v>2774</v>
      </c>
      <c r="G117" t="s">
        <v>85</v>
      </c>
      <c r="H117" t="s">
        <v>85</v>
      </c>
      <c r="I117" s="5" t="s">
        <v>2775</v>
      </c>
      <c r="J117" t="s">
        <v>1490</v>
      </c>
      <c r="K117" t="s">
        <v>85</v>
      </c>
      <c r="L117" t="s">
        <v>85</v>
      </c>
      <c r="M117" t="s">
        <v>89</v>
      </c>
      <c r="N117" t="s">
        <v>90</v>
      </c>
      <c r="O117" t="s">
        <v>85</v>
      </c>
      <c r="P117" t="s">
        <v>85</v>
      </c>
      <c r="Q117" t="s">
        <v>85</v>
      </c>
      <c r="R117" t="s">
        <v>85</v>
      </c>
      <c r="S117" t="s">
        <v>85</v>
      </c>
      <c r="T117" t="s">
        <v>2776</v>
      </c>
      <c r="U117" t="s">
        <v>2777</v>
      </c>
      <c r="V117" s="5" t="s">
        <v>2778</v>
      </c>
      <c r="W117" t="s">
        <v>2779</v>
      </c>
      <c r="X117" t="s">
        <v>2780</v>
      </c>
      <c r="Y117" t="s">
        <v>2781</v>
      </c>
      <c r="Z117" t="s">
        <v>2782</v>
      </c>
      <c r="AA117" t="s">
        <v>2783</v>
      </c>
      <c r="AB117" t="s">
        <v>2784</v>
      </c>
      <c r="AC117" t="s">
        <v>2785</v>
      </c>
      <c r="AD117" t="s">
        <v>2786</v>
      </c>
      <c r="AE117" t="s">
        <v>2787</v>
      </c>
      <c r="AF117" t="s">
        <v>85</v>
      </c>
      <c r="AG117">
        <v>57</v>
      </c>
      <c r="AH117">
        <v>25</v>
      </c>
      <c r="AI117">
        <v>25</v>
      </c>
      <c r="AJ117">
        <v>11</v>
      </c>
      <c r="AK117">
        <v>55</v>
      </c>
      <c r="AL117" t="s">
        <v>1503</v>
      </c>
      <c r="AM117" t="s">
        <v>1504</v>
      </c>
      <c r="AN117" t="s">
        <v>1505</v>
      </c>
      <c r="AO117" t="s">
        <v>1506</v>
      </c>
      <c r="AP117" t="s">
        <v>1507</v>
      </c>
      <c r="AQ117" t="s">
        <v>85</v>
      </c>
      <c r="AR117" t="s">
        <v>1508</v>
      </c>
      <c r="AS117" t="s">
        <v>1509</v>
      </c>
      <c r="AT117" t="s">
        <v>329</v>
      </c>
      <c r="AU117" s="6">
        <v>2020</v>
      </c>
      <c r="AV117">
        <v>188</v>
      </c>
      <c r="AW117" t="s">
        <v>85</v>
      </c>
      <c r="AX117" t="s">
        <v>85</v>
      </c>
      <c r="AY117" t="s">
        <v>85</v>
      </c>
      <c r="AZ117" t="s">
        <v>85</v>
      </c>
      <c r="BA117" t="s">
        <v>85</v>
      </c>
      <c r="BB117" t="s">
        <v>85</v>
      </c>
      <c r="BC117" t="s">
        <v>85</v>
      </c>
      <c r="BD117">
        <v>109788</v>
      </c>
      <c r="BE117" t="s">
        <v>2788</v>
      </c>
      <c r="BF117" t="str">
        <f>HYPERLINK("http://dx.doi.org/10.1016/j.envres.2020.109788","http://dx.doi.org/10.1016/j.envres.2020.109788")</f>
        <v>http://dx.doi.org/10.1016/j.envres.2020.109788</v>
      </c>
      <c r="BG117" t="s">
        <v>85</v>
      </c>
      <c r="BH117" t="s">
        <v>85</v>
      </c>
      <c r="BI117">
        <v>9</v>
      </c>
      <c r="BJ117" s="6" t="s">
        <v>889</v>
      </c>
      <c r="BK117" t="s">
        <v>171</v>
      </c>
      <c r="BL117" t="s">
        <v>890</v>
      </c>
      <c r="BM117" t="s">
        <v>2789</v>
      </c>
      <c r="BN117">
        <v>32562949</v>
      </c>
      <c r="BO117" t="s">
        <v>85</v>
      </c>
      <c r="BP117" t="s">
        <v>85</v>
      </c>
      <c r="BQ117" t="s">
        <v>85</v>
      </c>
      <c r="BR117" t="s">
        <v>116</v>
      </c>
      <c r="BS117" t="s">
        <v>2790</v>
      </c>
      <c r="BT117" t="str">
        <f>HYPERLINK("https%3A%2F%2Fwww.webofscience.com%2Fwos%2Fwoscc%2Ffull-record%2FWOS:000564651700003","View Full Record in Web of Science")</f>
        <v>View Full Record in Web of Science</v>
      </c>
      <c r="BW117" s="6" t="s">
        <v>491</v>
      </c>
      <c r="BX117" s="10" t="s">
        <v>2791</v>
      </c>
      <c r="BY117" s="10" t="s">
        <v>289</v>
      </c>
      <c r="CA117" s="10" t="s">
        <v>2792</v>
      </c>
      <c r="CB117" s="10" t="s">
        <v>1802</v>
      </c>
      <c r="CC117" s="7" t="s">
        <v>2084</v>
      </c>
      <c r="CD117" s="7" t="s">
        <v>2793</v>
      </c>
      <c r="CE117" s="7" t="s">
        <v>554</v>
      </c>
      <c r="CF117" s="7" t="s">
        <v>1924</v>
      </c>
    </row>
    <row r="118" spans="1:84" ht="240">
      <c r="A118" t="s">
        <v>83</v>
      </c>
      <c r="B118" t="s">
        <v>2794</v>
      </c>
      <c r="C118" t="s">
        <v>85</v>
      </c>
      <c r="D118" t="s">
        <v>85</v>
      </c>
      <c r="E118" t="s">
        <v>85</v>
      </c>
      <c r="F118" t="s">
        <v>2795</v>
      </c>
      <c r="G118" t="s">
        <v>85</v>
      </c>
      <c r="H118" t="s">
        <v>85</v>
      </c>
      <c r="I118" s="5" t="s">
        <v>2796</v>
      </c>
      <c r="J118" t="s">
        <v>2797</v>
      </c>
      <c r="K118" t="s">
        <v>85</v>
      </c>
      <c r="L118" t="s">
        <v>85</v>
      </c>
      <c r="M118" t="s">
        <v>89</v>
      </c>
      <c r="N118" t="s">
        <v>90</v>
      </c>
      <c r="O118" t="s">
        <v>85</v>
      </c>
      <c r="P118" t="s">
        <v>85</v>
      </c>
      <c r="Q118" t="s">
        <v>85</v>
      </c>
      <c r="R118" t="s">
        <v>85</v>
      </c>
      <c r="S118" t="s">
        <v>85</v>
      </c>
      <c r="T118" t="s">
        <v>2798</v>
      </c>
      <c r="U118" t="s">
        <v>2799</v>
      </c>
      <c r="V118" s="5" t="s">
        <v>2800</v>
      </c>
      <c r="W118" t="s">
        <v>2801</v>
      </c>
      <c r="X118" t="s">
        <v>2802</v>
      </c>
      <c r="Y118" t="s">
        <v>2803</v>
      </c>
      <c r="Z118" t="s">
        <v>2804</v>
      </c>
      <c r="AA118" t="s">
        <v>2805</v>
      </c>
      <c r="AB118" t="s">
        <v>2806</v>
      </c>
      <c r="AC118" t="s">
        <v>2807</v>
      </c>
      <c r="AD118" t="s">
        <v>2808</v>
      </c>
      <c r="AE118" t="s">
        <v>2809</v>
      </c>
      <c r="AF118" t="s">
        <v>85</v>
      </c>
      <c r="AG118">
        <v>92</v>
      </c>
      <c r="AH118">
        <v>31</v>
      </c>
      <c r="AI118">
        <v>31</v>
      </c>
      <c r="AJ118">
        <v>7</v>
      </c>
      <c r="AK118">
        <v>28</v>
      </c>
      <c r="AL118" t="s">
        <v>680</v>
      </c>
      <c r="AM118" t="s">
        <v>102</v>
      </c>
      <c r="AN118" t="s">
        <v>681</v>
      </c>
      <c r="AO118" t="s">
        <v>2810</v>
      </c>
      <c r="AP118" t="s">
        <v>2811</v>
      </c>
      <c r="AQ118" t="s">
        <v>85</v>
      </c>
      <c r="AR118" t="s">
        <v>2812</v>
      </c>
      <c r="AS118" t="s">
        <v>2813</v>
      </c>
      <c r="AT118" t="s">
        <v>143</v>
      </c>
      <c r="AU118" s="6">
        <v>2020</v>
      </c>
      <c r="AV118">
        <v>82</v>
      </c>
      <c r="AW118" t="s">
        <v>85</v>
      </c>
      <c r="AX118" t="s">
        <v>85</v>
      </c>
      <c r="AY118" t="s">
        <v>85</v>
      </c>
      <c r="AZ118" t="s">
        <v>85</v>
      </c>
      <c r="BA118" t="s">
        <v>85</v>
      </c>
      <c r="BB118" t="s">
        <v>85</v>
      </c>
      <c r="BC118" t="s">
        <v>85</v>
      </c>
      <c r="BD118">
        <v>101501</v>
      </c>
      <c r="BE118" t="s">
        <v>2814</v>
      </c>
      <c r="BF118" t="str">
        <f>HYPERLINK("http://dx.doi.org/10.1016/j.compenvurbsys.2020.101501","http://dx.doi.org/10.1016/j.compenvurbsys.2020.101501")</f>
        <v>http://dx.doi.org/10.1016/j.compenvurbsys.2020.101501</v>
      </c>
      <c r="BG118" t="s">
        <v>85</v>
      </c>
      <c r="BH118" t="s">
        <v>85</v>
      </c>
      <c r="BI118">
        <v>15</v>
      </c>
      <c r="BJ118" s="6" t="s">
        <v>2815</v>
      </c>
      <c r="BK118" t="s">
        <v>146</v>
      </c>
      <c r="BL118" t="s">
        <v>2816</v>
      </c>
      <c r="BM118" t="s">
        <v>2817</v>
      </c>
      <c r="BN118" t="s">
        <v>85</v>
      </c>
      <c r="BO118" t="s">
        <v>206</v>
      </c>
      <c r="BP118" t="s">
        <v>85</v>
      </c>
      <c r="BQ118" t="s">
        <v>85</v>
      </c>
      <c r="BR118" t="s">
        <v>116</v>
      </c>
      <c r="BS118" t="s">
        <v>2818</v>
      </c>
      <c r="BT118" t="str">
        <f>HYPERLINK("https%3A%2F%2Fwww.webofscience.com%2Fwos%2Fwoscc%2Ffull-record%2FWOS:000542079600006","View Full Record in Web of Science")</f>
        <v>View Full Record in Web of Science</v>
      </c>
      <c r="BW118" s="6" t="s">
        <v>365</v>
      </c>
      <c r="BX118" s="10" t="s">
        <v>2819</v>
      </c>
      <c r="BY118" s="10" t="s">
        <v>289</v>
      </c>
      <c r="BZ118" t="s">
        <v>2820</v>
      </c>
      <c r="CA118" s="10" t="s">
        <v>1123</v>
      </c>
      <c r="CB118" s="10" t="s">
        <v>1802</v>
      </c>
      <c r="CC118" s="7" t="s">
        <v>2084</v>
      </c>
      <c r="CD118" s="7" t="s">
        <v>622</v>
      </c>
      <c r="CE118" s="7" t="s">
        <v>554</v>
      </c>
      <c r="CF118" s="7" t="s">
        <v>2821</v>
      </c>
    </row>
    <row r="119" spans="1:84" ht="255">
      <c r="A119" t="s">
        <v>83</v>
      </c>
      <c r="B119" t="s">
        <v>2822</v>
      </c>
      <c r="C119" t="s">
        <v>85</v>
      </c>
      <c r="D119" t="s">
        <v>85</v>
      </c>
      <c r="E119" t="s">
        <v>85</v>
      </c>
      <c r="F119" t="s">
        <v>2823</v>
      </c>
      <c r="G119" t="s">
        <v>85</v>
      </c>
      <c r="H119" t="s">
        <v>85</v>
      </c>
      <c r="I119" s="5" t="s">
        <v>2824</v>
      </c>
      <c r="J119" t="s">
        <v>1490</v>
      </c>
      <c r="K119" t="s">
        <v>85</v>
      </c>
      <c r="L119" t="s">
        <v>85</v>
      </c>
      <c r="M119" t="s">
        <v>89</v>
      </c>
      <c r="N119" t="s">
        <v>90</v>
      </c>
      <c r="O119" t="s">
        <v>85</v>
      </c>
      <c r="P119" t="s">
        <v>85</v>
      </c>
      <c r="Q119" t="s">
        <v>85</v>
      </c>
      <c r="R119" t="s">
        <v>85</v>
      </c>
      <c r="S119" t="s">
        <v>85</v>
      </c>
      <c r="T119" t="s">
        <v>2825</v>
      </c>
      <c r="U119" t="s">
        <v>2826</v>
      </c>
      <c r="V119" s="5" t="s">
        <v>2827</v>
      </c>
      <c r="W119" t="s">
        <v>2828</v>
      </c>
      <c r="X119" t="s">
        <v>2829</v>
      </c>
      <c r="Y119" t="s">
        <v>2830</v>
      </c>
      <c r="Z119" t="s">
        <v>2831</v>
      </c>
      <c r="AA119" t="s">
        <v>2832</v>
      </c>
      <c r="AB119" t="s">
        <v>2833</v>
      </c>
      <c r="AC119" t="s">
        <v>2834</v>
      </c>
      <c r="AD119" t="s">
        <v>2835</v>
      </c>
      <c r="AE119" t="s">
        <v>2836</v>
      </c>
      <c r="AF119" t="s">
        <v>85</v>
      </c>
      <c r="AG119">
        <v>83</v>
      </c>
      <c r="AH119">
        <v>38</v>
      </c>
      <c r="AI119">
        <v>38</v>
      </c>
      <c r="AJ119">
        <v>13</v>
      </c>
      <c r="AK119">
        <v>83</v>
      </c>
      <c r="AL119" t="s">
        <v>1503</v>
      </c>
      <c r="AM119" t="s">
        <v>1504</v>
      </c>
      <c r="AN119" t="s">
        <v>1505</v>
      </c>
      <c r="AO119" t="s">
        <v>1506</v>
      </c>
      <c r="AP119" t="s">
        <v>1507</v>
      </c>
      <c r="AQ119" t="s">
        <v>85</v>
      </c>
      <c r="AR119" t="s">
        <v>1508</v>
      </c>
      <c r="AS119" t="s">
        <v>1509</v>
      </c>
      <c r="AT119" t="s">
        <v>143</v>
      </c>
      <c r="AU119" s="6">
        <v>2020</v>
      </c>
      <c r="AV119">
        <v>186</v>
      </c>
      <c r="AW119" t="s">
        <v>85</v>
      </c>
      <c r="AX119" t="s">
        <v>85</v>
      </c>
      <c r="AY119" t="s">
        <v>85</v>
      </c>
      <c r="AZ119" t="s">
        <v>85</v>
      </c>
      <c r="BA119" t="s">
        <v>85</v>
      </c>
      <c r="BB119" t="s">
        <v>85</v>
      </c>
      <c r="BC119" t="s">
        <v>85</v>
      </c>
      <c r="BD119">
        <v>109614</v>
      </c>
      <c r="BE119" t="s">
        <v>2837</v>
      </c>
      <c r="BF119" t="str">
        <f>HYPERLINK("http://dx.doi.org/10.1016/j.envres.2020.109614","http://dx.doi.org/10.1016/j.envres.2020.109614")</f>
        <v>http://dx.doi.org/10.1016/j.envres.2020.109614</v>
      </c>
      <c r="BG119" t="s">
        <v>85</v>
      </c>
      <c r="BH119" t="s">
        <v>85</v>
      </c>
      <c r="BI119">
        <v>11</v>
      </c>
      <c r="BJ119" s="6" t="s">
        <v>889</v>
      </c>
      <c r="BK119" t="s">
        <v>171</v>
      </c>
      <c r="BL119" t="s">
        <v>890</v>
      </c>
      <c r="BM119" t="s">
        <v>2838</v>
      </c>
      <c r="BN119">
        <v>32668554</v>
      </c>
      <c r="BO119" t="s">
        <v>85</v>
      </c>
      <c r="BP119" t="s">
        <v>85</v>
      </c>
      <c r="BQ119" t="s">
        <v>85</v>
      </c>
      <c r="BR119" t="s">
        <v>116</v>
      </c>
      <c r="BS119" t="s">
        <v>2839</v>
      </c>
      <c r="BT119" t="str">
        <f>HYPERLINK("https%3A%2F%2Fwww.webofscience.com%2Fwos%2Fwoscc%2Ffull-record%2FWOS:000548186300122","View Full Record in Web of Science")</f>
        <v>View Full Record in Web of Science</v>
      </c>
    </row>
    <row r="120" spans="1:84" ht="270">
      <c r="A120" t="s">
        <v>83</v>
      </c>
      <c r="B120" t="s">
        <v>2840</v>
      </c>
      <c r="C120" t="s">
        <v>85</v>
      </c>
      <c r="D120" t="s">
        <v>85</v>
      </c>
      <c r="E120" t="s">
        <v>85</v>
      </c>
      <c r="F120" t="s">
        <v>2841</v>
      </c>
      <c r="G120" t="s">
        <v>85</v>
      </c>
      <c r="H120" t="s">
        <v>85</v>
      </c>
      <c r="I120" s="5" t="s">
        <v>2842</v>
      </c>
      <c r="J120" t="s">
        <v>2843</v>
      </c>
      <c r="K120" t="s">
        <v>85</v>
      </c>
      <c r="L120" t="s">
        <v>85</v>
      </c>
      <c r="M120" t="s">
        <v>89</v>
      </c>
      <c r="N120" t="s">
        <v>90</v>
      </c>
      <c r="O120" t="s">
        <v>85</v>
      </c>
      <c r="P120" t="s">
        <v>85</v>
      </c>
      <c r="Q120" t="s">
        <v>85</v>
      </c>
      <c r="R120" t="s">
        <v>85</v>
      </c>
      <c r="S120" t="s">
        <v>85</v>
      </c>
      <c r="T120" t="s">
        <v>2844</v>
      </c>
      <c r="U120" t="s">
        <v>85</v>
      </c>
      <c r="V120" s="5" t="s">
        <v>2845</v>
      </c>
      <c r="W120" t="s">
        <v>2846</v>
      </c>
      <c r="X120" t="s">
        <v>85</v>
      </c>
      <c r="Y120" t="s">
        <v>2847</v>
      </c>
      <c r="Z120" t="s">
        <v>2848</v>
      </c>
      <c r="AA120" t="s">
        <v>85</v>
      </c>
      <c r="AB120" t="s">
        <v>85</v>
      </c>
      <c r="AC120" t="s">
        <v>2849</v>
      </c>
      <c r="AD120" t="s">
        <v>2849</v>
      </c>
      <c r="AE120" t="s">
        <v>2850</v>
      </c>
      <c r="AF120" t="s">
        <v>85</v>
      </c>
      <c r="AG120">
        <v>28</v>
      </c>
      <c r="AH120">
        <v>13</v>
      </c>
      <c r="AI120">
        <v>13</v>
      </c>
      <c r="AJ120">
        <v>7</v>
      </c>
      <c r="AK120">
        <v>30</v>
      </c>
      <c r="AL120" t="s">
        <v>2342</v>
      </c>
      <c r="AM120" t="s">
        <v>609</v>
      </c>
      <c r="AN120" t="s">
        <v>2343</v>
      </c>
      <c r="AO120" t="s">
        <v>85</v>
      </c>
      <c r="AP120" t="s">
        <v>2851</v>
      </c>
      <c r="AQ120" t="s">
        <v>85</v>
      </c>
      <c r="AR120" t="s">
        <v>2852</v>
      </c>
      <c r="AS120" t="s">
        <v>2853</v>
      </c>
      <c r="AT120" t="s">
        <v>2854</v>
      </c>
      <c r="AU120" s="6">
        <v>2020</v>
      </c>
      <c r="AV120">
        <v>19</v>
      </c>
      <c r="AW120">
        <v>1</v>
      </c>
      <c r="AX120" t="s">
        <v>85</v>
      </c>
      <c r="AY120" t="s">
        <v>85</v>
      </c>
      <c r="AZ120" t="s">
        <v>85</v>
      </c>
      <c r="BA120" t="s">
        <v>85</v>
      </c>
      <c r="BB120" t="s">
        <v>85</v>
      </c>
      <c r="BC120" t="s">
        <v>85</v>
      </c>
      <c r="BD120">
        <v>57</v>
      </c>
      <c r="BE120" t="s">
        <v>2855</v>
      </c>
      <c r="BF120" t="str">
        <f>HYPERLINK("http://dx.doi.org/10.1186/s12940-020-00600-2","http://dx.doi.org/10.1186/s12940-020-00600-2")</f>
        <v>http://dx.doi.org/10.1186/s12940-020-00600-2</v>
      </c>
      <c r="BG120" t="s">
        <v>85</v>
      </c>
      <c r="BH120" t="s">
        <v>85</v>
      </c>
      <c r="BI120">
        <v>7</v>
      </c>
      <c r="BJ120" s="6" t="s">
        <v>889</v>
      </c>
      <c r="BK120" t="s">
        <v>112</v>
      </c>
      <c r="BL120" t="s">
        <v>890</v>
      </c>
      <c r="BM120" t="s">
        <v>2856</v>
      </c>
      <c r="BN120">
        <v>32460849</v>
      </c>
      <c r="BO120" t="s">
        <v>236</v>
      </c>
      <c r="BP120" t="s">
        <v>85</v>
      </c>
      <c r="BQ120" t="s">
        <v>85</v>
      </c>
      <c r="BR120" t="s">
        <v>116</v>
      </c>
      <c r="BS120" t="s">
        <v>2857</v>
      </c>
      <c r="BT120" t="str">
        <f>HYPERLINK("https%3A%2F%2Fwww.webofscience.com%2Fwos%2Fwoscc%2Ffull-record%2FWOS:000538092400001","View Full Record in Web of Science")</f>
        <v>View Full Record in Web of Science</v>
      </c>
      <c r="BW120" s="6" t="s">
        <v>491</v>
      </c>
      <c r="BX120" s="10" t="s">
        <v>2858</v>
      </c>
      <c r="BY120" s="10" t="s">
        <v>151</v>
      </c>
      <c r="CA120" s="10" t="s">
        <v>1123</v>
      </c>
      <c r="CB120" s="10" t="s">
        <v>122</v>
      </c>
      <c r="CC120" s="7" t="s">
        <v>495</v>
      </c>
      <c r="CD120" s="7" t="s">
        <v>90</v>
      </c>
      <c r="CE120" s="7"/>
      <c r="CF120" s="7" t="s">
        <v>746</v>
      </c>
    </row>
    <row r="121" spans="1:84" ht="300">
      <c r="A121" t="s">
        <v>83</v>
      </c>
      <c r="B121" t="s">
        <v>2859</v>
      </c>
      <c r="C121" t="s">
        <v>85</v>
      </c>
      <c r="D121" t="s">
        <v>85</v>
      </c>
      <c r="E121" t="s">
        <v>85</v>
      </c>
      <c r="F121" t="s">
        <v>2860</v>
      </c>
      <c r="G121" t="s">
        <v>85</v>
      </c>
      <c r="H121" t="s">
        <v>85</v>
      </c>
      <c r="I121" s="5" t="s">
        <v>2861</v>
      </c>
      <c r="J121" t="s">
        <v>2381</v>
      </c>
      <c r="K121" t="s">
        <v>85</v>
      </c>
      <c r="L121" t="s">
        <v>85</v>
      </c>
      <c r="M121" t="s">
        <v>89</v>
      </c>
      <c r="N121" t="s">
        <v>90</v>
      </c>
      <c r="O121" t="s">
        <v>85</v>
      </c>
      <c r="P121" t="s">
        <v>85</v>
      </c>
      <c r="Q121" t="s">
        <v>85</v>
      </c>
      <c r="R121" t="s">
        <v>85</v>
      </c>
      <c r="S121" t="s">
        <v>85</v>
      </c>
      <c r="T121" t="s">
        <v>85</v>
      </c>
      <c r="U121" t="s">
        <v>2862</v>
      </c>
      <c r="V121" s="5" t="s">
        <v>2863</v>
      </c>
      <c r="W121" t="s">
        <v>2864</v>
      </c>
      <c r="X121" t="s">
        <v>2865</v>
      </c>
      <c r="Y121" t="s">
        <v>2866</v>
      </c>
      <c r="Z121" t="s">
        <v>2867</v>
      </c>
      <c r="AA121" t="s">
        <v>2868</v>
      </c>
      <c r="AB121" t="s">
        <v>2869</v>
      </c>
      <c r="AC121" t="s">
        <v>2870</v>
      </c>
      <c r="AD121" t="s">
        <v>2871</v>
      </c>
      <c r="AE121" t="s">
        <v>2872</v>
      </c>
      <c r="AF121" t="s">
        <v>85</v>
      </c>
      <c r="AG121">
        <v>49</v>
      </c>
      <c r="AH121">
        <v>31</v>
      </c>
      <c r="AI121">
        <v>31</v>
      </c>
      <c r="AJ121">
        <v>10</v>
      </c>
      <c r="AK121">
        <v>76</v>
      </c>
      <c r="AL121" t="s">
        <v>2342</v>
      </c>
      <c r="AM121" t="s">
        <v>609</v>
      </c>
      <c r="AN121" t="s">
        <v>2343</v>
      </c>
      <c r="AO121" t="s">
        <v>85</v>
      </c>
      <c r="AP121" t="s">
        <v>2394</v>
      </c>
      <c r="AQ121" t="s">
        <v>85</v>
      </c>
      <c r="AR121" t="s">
        <v>2381</v>
      </c>
      <c r="AS121" t="s">
        <v>2395</v>
      </c>
      <c r="AT121" t="s">
        <v>2873</v>
      </c>
      <c r="AU121" s="6">
        <v>2020</v>
      </c>
      <c r="AV121">
        <v>20</v>
      </c>
      <c r="AW121">
        <v>1</v>
      </c>
      <c r="AX121" t="s">
        <v>85</v>
      </c>
      <c r="AY121" t="s">
        <v>85</v>
      </c>
      <c r="AZ121" t="s">
        <v>85</v>
      </c>
      <c r="BA121" t="s">
        <v>85</v>
      </c>
      <c r="BB121" t="s">
        <v>85</v>
      </c>
      <c r="BC121" t="s">
        <v>85</v>
      </c>
      <c r="BD121" t="s">
        <v>85</v>
      </c>
      <c r="BE121" t="s">
        <v>2874</v>
      </c>
      <c r="BF121" t="str">
        <f>HYPERLINK("http://dx.doi.org/10.1186/s12889-020-08762-x","http://dx.doi.org/10.1186/s12889-020-08762-x")</f>
        <v>http://dx.doi.org/10.1186/s12889-020-08762-x</v>
      </c>
      <c r="BG121" t="s">
        <v>85</v>
      </c>
      <c r="BH121" t="s">
        <v>85</v>
      </c>
      <c r="BI121">
        <v>15</v>
      </c>
      <c r="BJ121" s="6" t="s">
        <v>616</v>
      </c>
      <c r="BK121" t="s">
        <v>171</v>
      </c>
      <c r="BL121" t="s">
        <v>616</v>
      </c>
      <c r="BM121" t="s">
        <v>2875</v>
      </c>
      <c r="BN121">
        <v>32375720</v>
      </c>
      <c r="BO121" t="s">
        <v>236</v>
      </c>
      <c r="BP121" t="s">
        <v>85</v>
      </c>
      <c r="BQ121" t="s">
        <v>85</v>
      </c>
      <c r="BR121" t="s">
        <v>116</v>
      </c>
      <c r="BS121" t="s">
        <v>2876</v>
      </c>
      <c r="BT121" t="str">
        <f>HYPERLINK("https%3A%2F%2Fwww.webofscience.com%2Fwos%2Fwoscc%2Ffull-record%2FWOS:000534228400006","View Full Record in Web of Science")</f>
        <v>View Full Record in Web of Science</v>
      </c>
      <c r="BW121" s="6" t="s">
        <v>365</v>
      </c>
      <c r="BX121" s="10" t="s">
        <v>2877</v>
      </c>
      <c r="BY121" s="10" t="s">
        <v>289</v>
      </c>
      <c r="BZ121" t="s">
        <v>2878</v>
      </c>
      <c r="CA121" s="10" t="s">
        <v>2879</v>
      </c>
      <c r="CB121" s="10" t="s">
        <v>122</v>
      </c>
      <c r="CC121" s="7" t="s">
        <v>2084</v>
      </c>
      <c r="CD121" s="7" t="s">
        <v>622</v>
      </c>
      <c r="CE121" s="7" t="s">
        <v>2880</v>
      </c>
      <c r="CF121" s="7" t="s">
        <v>2821</v>
      </c>
    </row>
    <row r="122" spans="1:84" ht="165">
      <c r="A122" t="s">
        <v>83</v>
      </c>
      <c r="B122" t="s">
        <v>2881</v>
      </c>
      <c r="C122" t="s">
        <v>85</v>
      </c>
      <c r="D122" t="s">
        <v>85</v>
      </c>
      <c r="E122" t="s">
        <v>85</v>
      </c>
      <c r="F122" t="s">
        <v>2882</v>
      </c>
      <c r="G122" t="s">
        <v>85</v>
      </c>
      <c r="H122" t="s">
        <v>85</v>
      </c>
      <c r="I122" s="5" t="s">
        <v>2883</v>
      </c>
      <c r="J122" t="s">
        <v>1490</v>
      </c>
      <c r="K122" t="s">
        <v>85</v>
      </c>
      <c r="L122" t="s">
        <v>85</v>
      </c>
      <c r="M122" t="s">
        <v>89</v>
      </c>
      <c r="N122" t="s">
        <v>90</v>
      </c>
      <c r="O122" t="s">
        <v>85</v>
      </c>
      <c r="P122" t="s">
        <v>85</v>
      </c>
      <c r="Q122" t="s">
        <v>85</v>
      </c>
      <c r="R122" t="s">
        <v>85</v>
      </c>
      <c r="S122" t="s">
        <v>85</v>
      </c>
      <c r="T122" t="s">
        <v>2884</v>
      </c>
      <c r="U122" t="s">
        <v>2885</v>
      </c>
      <c r="V122" s="5" t="s">
        <v>2886</v>
      </c>
      <c r="W122" t="s">
        <v>2887</v>
      </c>
      <c r="X122" t="s">
        <v>2888</v>
      </c>
      <c r="Y122" t="s">
        <v>2889</v>
      </c>
      <c r="Z122" t="s">
        <v>2890</v>
      </c>
      <c r="AA122" t="s">
        <v>2891</v>
      </c>
      <c r="AB122" t="s">
        <v>2892</v>
      </c>
      <c r="AC122" t="s">
        <v>2893</v>
      </c>
      <c r="AD122" t="s">
        <v>2894</v>
      </c>
      <c r="AE122" t="s">
        <v>2895</v>
      </c>
      <c r="AF122" t="s">
        <v>85</v>
      </c>
      <c r="AG122">
        <v>83</v>
      </c>
      <c r="AH122">
        <v>35</v>
      </c>
      <c r="AI122">
        <v>36</v>
      </c>
      <c r="AJ122">
        <v>7</v>
      </c>
      <c r="AK122">
        <v>48</v>
      </c>
      <c r="AL122" t="s">
        <v>1503</v>
      </c>
      <c r="AM122" t="s">
        <v>1504</v>
      </c>
      <c r="AN122" t="s">
        <v>1505</v>
      </c>
      <c r="AO122" t="s">
        <v>1506</v>
      </c>
      <c r="AP122" t="s">
        <v>1507</v>
      </c>
      <c r="AQ122" t="s">
        <v>85</v>
      </c>
      <c r="AR122" t="s">
        <v>1508</v>
      </c>
      <c r="AS122" t="s">
        <v>1509</v>
      </c>
      <c r="AT122" t="s">
        <v>1399</v>
      </c>
      <c r="AU122" s="6">
        <v>2020</v>
      </c>
      <c r="AV122">
        <v>184</v>
      </c>
      <c r="AW122" t="s">
        <v>85</v>
      </c>
      <c r="AX122" t="s">
        <v>85</v>
      </c>
      <c r="AY122" t="s">
        <v>85</v>
      </c>
      <c r="AZ122" t="s">
        <v>85</v>
      </c>
      <c r="BA122" t="s">
        <v>85</v>
      </c>
      <c r="BB122" t="s">
        <v>85</v>
      </c>
      <c r="BC122" t="s">
        <v>85</v>
      </c>
      <c r="BD122">
        <v>109225</v>
      </c>
      <c r="BE122" t="s">
        <v>2896</v>
      </c>
      <c r="BF122" t="str">
        <f>HYPERLINK("http://dx.doi.org/10.1016/j.envres.2020.109225","http://dx.doi.org/10.1016/j.envres.2020.109225")</f>
        <v>http://dx.doi.org/10.1016/j.envres.2020.109225</v>
      </c>
      <c r="BG122" t="s">
        <v>85</v>
      </c>
      <c r="BH122" t="s">
        <v>85</v>
      </c>
      <c r="BI122">
        <v>10</v>
      </c>
      <c r="BJ122" s="6" t="s">
        <v>889</v>
      </c>
      <c r="BK122" t="s">
        <v>171</v>
      </c>
      <c r="BL122" t="s">
        <v>890</v>
      </c>
      <c r="BM122" t="s">
        <v>2897</v>
      </c>
      <c r="BN122">
        <v>32078817</v>
      </c>
      <c r="BO122" t="s">
        <v>85</v>
      </c>
      <c r="BP122" t="s">
        <v>85</v>
      </c>
      <c r="BQ122" t="s">
        <v>85</v>
      </c>
      <c r="BR122" t="s">
        <v>116</v>
      </c>
      <c r="BS122" t="s">
        <v>2898</v>
      </c>
      <c r="BT122" t="str">
        <f>HYPERLINK("https%3A%2F%2Fwww.webofscience.com%2Fwos%2Fwoscc%2Ffull-record%2FWOS:000526178000055","View Full Record in Web of Science")</f>
        <v>View Full Record in Web of Science</v>
      </c>
      <c r="BW122" s="6" t="s">
        <v>491</v>
      </c>
      <c r="BX122" s="10" t="s">
        <v>2899</v>
      </c>
      <c r="BY122" s="10" t="s">
        <v>2900</v>
      </c>
      <c r="CA122" s="10" t="s">
        <v>2901</v>
      </c>
      <c r="CB122" s="10" t="s">
        <v>122</v>
      </c>
      <c r="CC122" s="7" t="s">
        <v>2084</v>
      </c>
      <c r="CD122" s="7" t="s">
        <v>622</v>
      </c>
      <c r="CE122" s="7" t="s">
        <v>554</v>
      </c>
      <c r="CF122" s="7" t="s">
        <v>1517</v>
      </c>
    </row>
    <row r="123" spans="1:84" ht="120">
      <c r="A123" t="s">
        <v>83</v>
      </c>
      <c r="B123" t="s">
        <v>2902</v>
      </c>
      <c r="C123" t="s">
        <v>85</v>
      </c>
      <c r="D123" t="s">
        <v>85</v>
      </c>
      <c r="E123" t="s">
        <v>85</v>
      </c>
      <c r="F123" t="s">
        <v>2903</v>
      </c>
      <c r="G123" t="s">
        <v>85</v>
      </c>
      <c r="H123" t="s">
        <v>85</v>
      </c>
      <c r="I123" s="5" t="s">
        <v>2904</v>
      </c>
      <c r="J123" t="s">
        <v>2905</v>
      </c>
      <c r="K123" t="s">
        <v>85</v>
      </c>
      <c r="L123" t="s">
        <v>85</v>
      </c>
      <c r="M123" t="s">
        <v>89</v>
      </c>
      <c r="N123" t="s">
        <v>90</v>
      </c>
      <c r="O123" t="s">
        <v>85</v>
      </c>
      <c r="P123" t="s">
        <v>85</v>
      </c>
      <c r="Q123" t="s">
        <v>85</v>
      </c>
      <c r="R123" t="s">
        <v>85</v>
      </c>
      <c r="S123" t="s">
        <v>85</v>
      </c>
      <c r="T123" t="s">
        <v>2906</v>
      </c>
      <c r="U123" t="s">
        <v>2907</v>
      </c>
      <c r="V123" s="5" t="s">
        <v>2908</v>
      </c>
      <c r="W123" t="s">
        <v>2909</v>
      </c>
      <c r="X123" t="s">
        <v>2910</v>
      </c>
      <c r="Y123" t="s">
        <v>2911</v>
      </c>
      <c r="Z123" t="s">
        <v>2912</v>
      </c>
      <c r="AA123" t="s">
        <v>85</v>
      </c>
      <c r="AB123" t="s">
        <v>2913</v>
      </c>
      <c r="AC123" t="s">
        <v>85</v>
      </c>
      <c r="AD123" t="s">
        <v>85</v>
      </c>
      <c r="AE123" t="s">
        <v>85</v>
      </c>
      <c r="AF123" t="s">
        <v>85</v>
      </c>
      <c r="AG123">
        <v>78</v>
      </c>
      <c r="AH123">
        <v>7</v>
      </c>
      <c r="AI123">
        <v>7</v>
      </c>
      <c r="AJ123">
        <v>14</v>
      </c>
      <c r="AK123">
        <v>53</v>
      </c>
      <c r="AL123" t="s">
        <v>2914</v>
      </c>
      <c r="AM123" t="s">
        <v>2915</v>
      </c>
      <c r="AN123" t="s">
        <v>2916</v>
      </c>
      <c r="AO123" t="s">
        <v>2917</v>
      </c>
      <c r="AP123" t="s">
        <v>2918</v>
      </c>
      <c r="AQ123" t="s">
        <v>85</v>
      </c>
      <c r="AR123" t="s">
        <v>2919</v>
      </c>
      <c r="AS123" t="s">
        <v>2920</v>
      </c>
      <c r="AT123" t="s">
        <v>2921</v>
      </c>
      <c r="AU123" s="6">
        <v>2021</v>
      </c>
      <c r="AV123">
        <v>52</v>
      </c>
      <c r="AW123">
        <v>1</v>
      </c>
      <c r="AX123" t="s">
        <v>85</v>
      </c>
      <c r="AY123" t="s">
        <v>85</v>
      </c>
      <c r="AZ123" t="s">
        <v>85</v>
      </c>
      <c r="BA123" t="s">
        <v>85</v>
      </c>
      <c r="BB123">
        <v>41</v>
      </c>
      <c r="BC123">
        <v>61</v>
      </c>
      <c r="BD123" t="s">
        <v>85</v>
      </c>
      <c r="BE123" t="s">
        <v>2922</v>
      </c>
      <c r="BF123" t="str">
        <f>HYPERLINK("http://dx.doi.org/10.1080/00222216.2020.1741329","http://dx.doi.org/10.1080/00222216.2020.1741329")</f>
        <v>http://dx.doi.org/10.1080/00222216.2020.1741329</v>
      </c>
      <c r="BG123" t="s">
        <v>85</v>
      </c>
      <c r="BH123" t="s">
        <v>2923</v>
      </c>
      <c r="BI123">
        <v>21</v>
      </c>
      <c r="BJ123" s="6" t="s">
        <v>2924</v>
      </c>
      <c r="BK123" t="s">
        <v>146</v>
      </c>
      <c r="BL123" t="s">
        <v>2925</v>
      </c>
      <c r="BM123" t="s">
        <v>2926</v>
      </c>
      <c r="BN123" t="s">
        <v>85</v>
      </c>
      <c r="BO123" t="s">
        <v>85</v>
      </c>
      <c r="BP123" t="s">
        <v>85</v>
      </c>
      <c r="BQ123" t="s">
        <v>85</v>
      </c>
      <c r="BR123" t="s">
        <v>116</v>
      </c>
      <c r="BS123" t="s">
        <v>2927</v>
      </c>
      <c r="BT123" t="str">
        <f>HYPERLINK("https%3A%2F%2Fwww.webofscience.com%2Fwos%2Fwoscc%2Ffull-record%2FWOS:000525117800001","View Full Record in Web of Science")</f>
        <v>View Full Record in Web of Science</v>
      </c>
      <c r="BW123" s="6" t="s">
        <v>365</v>
      </c>
      <c r="BX123" s="10" t="s">
        <v>2928</v>
      </c>
      <c r="BY123" s="10" t="s">
        <v>151</v>
      </c>
      <c r="CA123" s="10" t="s">
        <v>2929</v>
      </c>
      <c r="CB123" s="10" t="s">
        <v>122</v>
      </c>
      <c r="CC123" s="7" t="s">
        <v>2930</v>
      </c>
      <c r="CD123" s="7" t="s">
        <v>2931</v>
      </c>
      <c r="CE123" s="7" t="s">
        <v>554</v>
      </c>
      <c r="CF123" s="7" t="s">
        <v>2932</v>
      </c>
    </row>
    <row r="124" spans="1:84" ht="180">
      <c r="A124" t="s">
        <v>83</v>
      </c>
      <c r="B124" t="s">
        <v>2933</v>
      </c>
      <c r="C124" t="s">
        <v>85</v>
      </c>
      <c r="D124" t="s">
        <v>85</v>
      </c>
      <c r="E124" t="s">
        <v>85</v>
      </c>
      <c r="F124" t="s">
        <v>2934</v>
      </c>
      <c r="G124" t="s">
        <v>85</v>
      </c>
      <c r="H124" t="s">
        <v>85</v>
      </c>
      <c r="I124" s="5" t="s">
        <v>2935</v>
      </c>
      <c r="J124" t="s">
        <v>2755</v>
      </c>
      <c r="K124" t="s">
        <v>85</v>
      </c>
      <c r="L124" t="s">
        <v>85</v>
      </c>
      <c r="M124" t="s">
        <v>89</v>
      </c>
      <c r="N124" t="s">
        <v>90</v>
      </c>
      <c r="O124" t="s">
        <v>85</v>
      </c>
      <c r="P124" t="s">
        <v>85</v>
      </c>
      <c r="Q124" t="s">
        <v>85</v>
      </c>
      <c r="R124" t="s">
        <v>85</v>
      </c>
      <c r="S124" t="s">
        <v>85</v>
      </c>
      <c r="T124" t="s">
        <v>2936</v>
      </c>
      <c r="U124" t="s">
        <v>2937</v>
      </c>
      <c r="V124" s="5" t="s">
        <v>2938</v>
      </c>
      <c r="W124" t="s">
        <v>2939</v>
      </c>
      <c r="X124" t="s">
        <v>2940</v>
      </c>
      <c r="Y124" t="s">
        <v>2941</v>
      </c>
      <c r="Z124" t="s">
        <v>2942</v>
      </c>
      <c r="AA124" t="s">
        <v>2943</v>
      </c>
      <c r="AB124" t="s">
        <v>2944</v>
      </c>
      <c r="AC124" t="s">
        <v>85</v>
      </c>
      <c r="AD124" t="s">
        <v>85</v>
      </c>
      <c r="AE124" t="s">
        <v>85</v>
      </c>
      <c r="AF124" t="s">
        <v>85</v>
      </c>
      <c r="AG124">
        <v>55</v>
      </c>
      <c r="AH124">
        <v>9</v>
      </c>
      <c r="AI124">
        <v>9</v>
      </c>
      <c r="AJ124">
        <v>0</v>
      </c>
      <c r="AK124">
        <v>7</v>
      </c>
      <c r="AL124" t="s">
        <v>2763</v>
      </c>
      <c r="AM124" t="s">
        <v>2764</v>
      </c>
      <c r="AN124" t="s">
        <v>2765</v>
      </c>
      <c r="AO124" t="s">
        <v>2766</v>
      </c>
      <c r="AP124" t="s">
        <v>85</v>
      </c>
      <c r="AQ124" t="s">
        <v>85</v>
      </c>
      <c r="AR124" t="s">
        <v>2755</v>
      </c>
      <c r="AS124" t="s">
        <v>2767</v>
      </c>
      <c r="AT124" t="s">
        <v>714</v>
      </c>
      <c r="AU124" s="6">
        <v>2020</v>
      </c>
      <c r="AV124">
        <v>12</v>
      </c>
      <c r="AW124">
        <v>1</v>
      </c>
      <c r="AX124" t="s">
        <v>85</v>
      </c>
      <c r="AY124" t="s">
        <v>85</v>
      </c>
      <c r="AZ124" t="s">
        <v>85</v>
      </c>
      <c r="BA124" t="s">
        <v>85</v>
      </c>
      <c r="BB124">
        <v>24</v>
      </c>
      <c r="BC124">
        <v>35</v>
      </c>
      <c r="BD124" t="s">
        <v>85</v>
      </c>
      <c r="BE124" t="s">
        <v>2945</v>
      </c>
      <c r="BF124" t="str">
        <f>HYPERLINK("http://dx.doi.org/10.1089/eco.2019.0065","http://dx.doi.org/10.1089/eco.2019.0065")</f>
        <v>http://dx.doi.org/10.1089/eco.2019.0065</v>
      </c>
      <c r="BG124" t="s">
        <v>85</v>
      </c>
      <c r="BH124" t="s">
        <v>85</v>
      </c>
      <c r="BI124">
        <v>12</v>
      </c>
      <c r="BJ124" s="6" t="s">
        <v>233</v>
      </c>
      <c r="BK124" t="s">
        <v>1778</v>
      </c>
      <c r="BL124" t="s">
        <v>234</v>
      </c>
      <c r="BM124" t="s">
        <v>2946</v>
      </c>
      <c r="BN124" t="s">
        <v>85</v>
      </c>
      <c r="BO124" t="s">
        <v>1797</v>
      </c>
      <c r="BP124" t="s">
        <v>85</v>
      </c>
      <c r="BQ124" t="s">
        <v>85</v>
      </c>
      <c r="BR124" t="s">
        <v>116</v>
      </c>
      <c r="BS124" t="s">
        <v>2947</v>
      </c>
      <c r="BT124" t="str">
        <f>HYPERLINK("https%3A%2F%2Fwww.webofscience.com%2Fwos%2Fwoscc%2Ffull-record%2FWOS:000572422800005","View Full Record in Web of Science")</f>
        <v>View Full Record in Web of Science</v>
      </c>
    </row>
    <row r="125" spans="1:84" ht="195">
      <c r="A125" t="s">
        <v>83</v>
      </c>
      <c r="B125" t="s">
        <v>2948</v>
      </c>
      <c r="C125" t="s">
        <v>85</v>
      </c>
      <c r="D125" t="s">
        <v>85</v>
      </c>
      <c r="E125" t="s">
        <v>85</v>
      </c>
      <c r="F125" t="s">
        <v>2949</v>
      </c>
      <c r="G125" t="s">
        <v>85</v>
      </c>
      <c r="H125" t="s">
        <v>85</v>
      </c>
      <c r="I125" s="5" t="s">
        <v>2950</v>
      </c>
      <c r="J125" t="s">
        <v>2951</v>
      </c>
      <c r="K125" t="s">
        <v>85</v>
      </c>
      <c r="L125" t="s">
        <v>85</v>
      </c>
      <c r="M125" t="s">
        <v>89</v>
      </c>
      <c r="N125" t="s">
        <v>90</v>
      </c>
      <c r="O125" t="s">
        <v>85</v>
      </c>
      <c r="P125" t="s">
        <v>85</v>
      </c>
      <c r="Q125" t="s">
        <v>85</v>
      </c>
      <c r="R125" t="s">
        <v>85</v>
      </c>
      <c r="S125" t="s">
        <v>85</v>
      </c>
      <c r="T125" t="s">
        <v>2952</v>
      </c>
      <c r="U125" t="s">
        <v>2953</v>
      </c>
      <c r="V125" s="5" t="s">
        <v>2954</v>
      </c>
      <c r="W125" t="s">
        <v>2955</v>
      </c>
      <c r="X125" t="s">
        <v>2956</v>
      </c>
      <c r="Y125" t="s">
        <v>2957</v>
      </c>
      <c r="Z125" t="s">
        <v>2958</v>
      </c>
      <c r="AA125" t="s">
        <v>85</v>
      </c>
      <c r="AB125" t="s">
        <v>2959</v>
      </c>
      <c r="AC125" t="s">
        <v>2960</v>
      </c>
      <c r="AD125" t="s">
        <v>2961</v>
      </c>
      <c r="AE125" t="s">
        <v>2962</v>
      </c>
      <c r="AF125" t="s">
        <v>85</v>
      </c>
      <c r="AG125">
        <v>49</v>
      </c>
      <c r="AH125">
        <v>32</v>
      </c>
      <c r="AI125">
        <v>34</v>
      </c>
      <c r="AJ125">
        <v>15</v>
      </c>
      <c r="AK125">
        <v>118</v>
      </c>
      <c r="AL125" t="s">
        <v>2963</v>
      </c>
      <c r="AM125" t="s">
        <v>936</v>
      </c>
      <c r="AN125" t="s">
        <v>937</v>
      </c>
      <c r="AO125" t="s">
        <v>2964</v>
      </c>
      <c r="AP125" t="s">
        <v>85</v>
      </c>
      <c r="AQ125" t="s">
        <v>85</v>
      </c>
      <c r="AR125" t="s">
        <v>2965</v>
      </c>
      <c r="AS125" t="s">
        <v>2966</v>
      </c>
      <c r="AT125" t="s">
        <v>714</v>
      </c>
      <c r="AU125" s="6">
        <v>2020</v>
      </c>
      <c r="AV125">
        <v>15</v>
      </c>
      <c r="AW125">
        <v>3</v>
      </c>
      <c r="AX125" t="s">
        <v>85</v>
      </c>
      <c r="AY125" t="s">
        <v>85</v>
      </c>
      <c r="AZ125" t="s">
        <v>85</v>
      </c>
      <c r="BA125" t="s">
        <v>85</v>
      </c>
      <c r="BB125" t="s">
        <v>85</v>
      </c>
      <c r="BC125" t="s">
        <v>85</v>
      </c>
      <c r="BD125">
        <v>34041</v>
      </c>
      <c r="BE125" t="s">
        <v>2967</v>
      </c>
      <c r="BF125" t="str">
        <f>HYPERLINK("http://dx.doi.org/10.1088/1748-9326/ab6c30","http://dx.doi.org/10.1088/1748-9326/ab6c30")</f>
        <v>http://dx.doi.org/10.1088/1748-9326/ab6c30</v>
      </c>
      <c r="BG125" t="s">
        <v>85</v>
      </c>
      <c r="BH125" t="s">
        <v>85</v>
      </c>
      <c r="BI125">
        <v>11</v>
      </c>
      <c r="BJ125" s="6" t="s">
        <v>2968</v>
      </c>
      <c r="BK125" t="s">
        <v>171</v>
      </c>
      <c r="BL125" t="s">
        <v>2132</v>
      </c>
      <c r="BM125" t="s">
        <v>2969</v>
      </c>
      <c r="BN125" t="s">
        <v>85</v>
      </c>
      <c r="BO125" t="s">
        <v>115</v>
      </c>
      <c r="BP125" t="s">
        <v>85</v>
      </c>
      <c r="BQ125" t="s">
        <v>85</v>
      </c>
      <c r="BR125" t="s">
        <v>116</v>
      </c>
      <c r="BS125" t="s">
        <v>2970</v>
      </c>
      <c r="BT125" t="str">
        <f>HYPERLINK("https%3A%2F%2Fwww.webofscience.com%2Fwos%2Fwoscc%2Ffull-record%2FWOS:000518646400001","View Full Record in Web of Science")</f>
        <v>View Full Record in Web of Science</v>
      </c>
      <c r="BW125" s="6" t="s">
        <v>365</v>
      </c>
      <c r="BX125" s="10" t="s">
        <v>2971</v>
      </c>
      <c r="BY125" s="10" t="s">
        <v>289</v>
      </c>
      <c r="CA125" s="10" t="s">
        <v>1123</v>
      </c>
      <c r="CB125" s="10" t="s">
        <v>1802</v>
      </c>
      <c r="CC125" s="7" t="s">
        <v>2084</v>
      </c>
      <c r="CD125" s="7" t="s">
        <v>2972</v>
      </c>
      <c r="CE125" s="7" t="s">
        <v>554</v>
      </c>
      <c r="CF125" s="7" t="s">
        <v>2973</v>
      </c>
    </row>
    <row r="126" spans="1:84" ht="210">
      <c r="A126" t="s">
        <v>83</v>
      </c>
      <c r="B126" t="s">
        <v>2974</v>
      </c>
      <c r="C126" t="s">
        <v>85</v>
      </c>
      <c r="D126" t="s">
        <v>85</v>
      </c>
      <c r="E126" t="s">
        <v>85</v>
      </c>
      <c r="F126" t="s">
        <v>2975</v>
      </c>
      <c r="G126" t="s">
        <v>85</v>
      </c>
      <c r="H126" t="s">
        <v>85</v>
      </c>
      <c r="I126" s="5" t="s">
        <v>2976</v>
      </c>
      <c r="J126" t="s">
        <v>2977</v>
      </c>
      <c r="K126" t="s">
        <v>85</v>
      </c>
      <c r="L126" t="s">
        <v>85</v>
      </c>
      <c r="M126" t="s">
        <v>89</v>
      </c>
      <c r="N126" t="s">
        <v>90</v>
      </c>
      <c r="O126" t="s">
        <v>85</v>
      </c>
      <c r="P126" t="s">
        <v>85</v>
      </c>
      <c r="Q126" t="s">
        <v>85</v>
      </c>
      <c r="R126" t="s">
        <v>85</v>
      </c>
      <c r="S126" t="s">
        <v>85</v>
      </c>
      <c r="T126" t="s">
        <v>2978</v>
      </c>
      <c r="U126" t="s">
        <v>2979</v>
      </c>
      <c r="V126" s="5" t="s">
        <v>2980</v>
      </c>
      <c r="W126" t="s">
        <v>2981</v>
      </c>
      <c r="X126" t="s">
        <v>2982</v>
      </c>
      <c r="Y126" t="s">
        <v>2983</v>
      </c>
      <c r="Z126" t="s">
        <v>2984</v>
      </c>
      <c r="AA126" t="s">
        <v>2985</v>
      </c>
      <c r="AB126" t="s">
        <v>2986</v>
      </c>
      <c r="AC126" t="s">
        <v>2987</v>
      </c>
      <c r="AD126" t="s">
        <v>2988</v>
      </c>
      <c r="AE126" t="s">
        <v>2989</v>
      </c>
      <c r="AF126" t="s">
        <v>85</v>
      </c>
      <c r="AG126">
        <v>52</v>
      </c>
      <c r="AH126">
        <v>28</v>
      </c>
      <c r="AI126">
        <v>28</v>
      </c>
      <c r="AJ126">
        <v>4</v>
      </c>
      <c r="AK126">
        <v>32</v>
      </c>
      <c r="AL126" t="s">
        <v>193</v>
      </c>
      <c r="AM126" t="s">
        <v>194</v>
      </c>
      <c r="AN126" t="s">
        <v>195</v>
      </c>
      <c r="AO126" t="s">
        <v>2990</v>
      </c>
      <c r="AP126" t="s">
        <v>2991</v>
      </c>
      <c r="AQ126" t="s">
        <v>85</v>
      </c>
      <c r="AR126" t="s">
        <v>2992</v>
      </c>
      <c r="AS126" t="s">
        <v>2993</v>
      </c>
      <c r="AT126" t="s">
        <v>568</v>
      </c>
      <c r="AU126" s="6">
        <v>2020</v>
      </c>
      <c r="AV126">
        <v>216</v>
      </c>
      <c r="AW126" t="s">
        <v>85</v>
      </c>
      <c r="AX126" t="s">
        <v>85</v>
      </c>
      <c r="AY126" t="s">
        <v>85</v>
      </c>
      <c r="AZ126" t="s">
        <v>85</v>
      </c>
      <c r="BA126" t="s">
        <v>85</v>
      </c>
      <c r="BB126">
        <v>488</v>
      </c>
      <c r="BC126">
        <v>495</v>
      </c>
      <c r="BD126" t="s">
        <v>85</v>
      </c>
      <c r="BE126" t="s">
        <v>2994</v>
      </c>
      <c r="BF126" t="str">
        <f>HYPERLINK("http://dx.doi.org/10.1016/j.schres.2019.10.012","http://dx.doi.org/10.1016/j.schres.2019.10.012")</f>
        <v>http://dx.doi.org/10.1016/j.schres.2019.10.012</v>
      </c>
      <c r="BG126" t="s">
        <v>85</v>
      </c>
      <c r="BH126" t="s">
        <v>85</v>
      </c>
      <c r="BI126">
        <v>8</v>
      </c>
      <c r="BJ126" s="6" t="s">
        <v>2995</v>
      </c>
      <c r="BK126" t="s">
        <v>171</v>
      </c>
      <c r="BL126" t="s">
        <v>2995</v>
      </c>
      <c r="BM126" t="s">
        <v>2996</v>
      </c>
      <c r="BN126">
        <v>31699630</v>
      </c>
      <c r="BO126" t="s">
        <v>85</v>
      </c>
      <c r="BP126" t="s">
        <v>85</v>
      </c>
      <c r="BQ126" t="s">
        <v>85</v>
      </c>
      <c r="BR126" t="s">
        <v>116</v>
      </c>
      <c r="BS126" t="s">
        <v>2997</v>
      </c>
      <c r="BT126" t="str">
        <f>HYPERLINK("https%3A%2F%2Fwww.webofscience.com%2Fwos%2Fwoscc%2Ffull-record%2FWOS:000535699400022","View Full Record in Web of Science")</f>
        <v>View Full Record in Web of Science</v>
      </c>
      <c r="BW126" s="6" t="s">
        <v>491</v>
      </c>
      <c r="BX126" s="10" t="s">
        <v>2998</v>
      </c>
      <c r="BY126" s="10" t="s">
        <v>289</v>
      </c>
      <c r="CA126" s="10" t="s">
        <v>2999</v>
      </c>
      <c r="CB126" s="10" t="s">
        <v>1802</v>
      </c>
      <c r="CC126" s="7" t="s">
        <v>2084</v>
      </c>
      <c r="CD126" s="7" t="s">
        <v>3000</v>
      </c>
      <c r="CE126" s="7" t="s">
        <v>554</v>
      </c>
      <c r="CF126" s="7" t="s">
        <v>1924</v>
      </c>
    </row>
    <row r="127" spans="1:84" ht="195">
      <c r="A127" t="s">
        <v>83</v>
      </c>
      <c r="B127" t="s">
        <v>3001</v>
      </c>
      <c r="C127" t="s">
        <v>85</v>
      </c>
      <c r="D127" t="s">
        <v>85</v>
      </c>
      <c r="E127" t="s">
        <v>85</v>
      </c>
      <c r="F127" t="s">
        <v>3002</v>
      </c>
      <c r="G127" t="s">
        <v>85</v>
      </c>
      <c r="H127" t="s">
        <v>85</v>
      </c>
      <c r="I127" s="5" t="s">
        <v>3003</v>
      </c>
      <c r="J127" t="s">
        <v>3004</v>
      </c>
      <c r="K127" t="s">
        <v>85</v>
      </c>
      <c r="L127" t="s">
        <v>85</v>
      </c>
      <c r="M127" t="s">
        <v>89</v>
      </c>
      <c r="N127" t="s">
        <v>90</v>
      </c>
      <c r="O127" t="s">
        <v>85</v>
      </c>
      <c r="P127" t="s">
        <v>85</v>
      </c>
      <c r="Q127" t="s">
        <v>85</v>
      </c>
      <c r="R127" t="s">
        <v>85</v>
      </c>
      <c r="S127" t="s">
        <v>85</v>
      </c>
      <c r="T127" t="s">
        <v>3005</v>
      </c>
      <c r="U127" t="s">
        <v>3006</v>
      </c>
      <c r="V127" s="5" t="s">
        <v>3007</v>
      </c>
      <c r="W127" t="s">
        <v>3008</v>
      </c>
      <c r="X127" t="s">
        <v>3009</v>
      </c>
      <c r="Y127" t="s">
        <v>3010</v>
      </c>
      <c r="Z127" t="s">
        <v>3011</v>
      </c>
      <c r="AA127" t="s">
        <v>3012</v>
      </c>
      <c r="AB127" t="s">
        <v>3013</v>
      </c>
      <c r="AC127" t="s">
        <v>85</v>
      </c>
      <c r="AD127" t="s">
        <v>85</v>
      </c>
      <c r="AE127" t="s">
        <v>85</v>
      </c>
      <c r="AF127" t="s">
        <v>85</v>
      </c>
      <c r="AG127">
        <v>105</v>
      </c>
      <c r="AH127">
        <v>10</v>
      </c>
      <c r="AI127">
        <v>11</v>
      </c>
      <c r="AJ127">
        <v>3</v>
      </c>
      <c r="AK127">
        <v>23</v>
      </c>
      <c r="AL127" t="s">
        <v>3014</v>
      </c>
      <c r="AM127" t="s">
        <v>609</v>
      </c>
      <c r="AN127" t="s">
        <v>3015</v>
      </c>
      <c r="AO127" t="s">
        <v>3016</v>
      </c>
      <c r="AP127" t="s">
        <v>3017</v>
      </c>
      <c r="AQ127" t="s">
        <v>85</v>
      </c>
      <c r="AR127" t="s">
        <v>3018</v>
      </c>
      <c r="AS127" t="s">
        <v>3019</v>
      </c>
      <c r="AT127" t="s">
        <v>568</v>
      </c>
      <c r="AU127" s="6">
        <v>2020</v>
      </c>
      <c r="AV127">
        <v>57</v>
      </c>
      <c r="AW127">
        <v>1</v>
      </c>
      <c r="AX127" t="s">
        <v>85</v>
      </c>
      <c r="AY127" t="s">
        <v>85</v>
      </c>
      <c r="AZ127" t="s">
        <v>485</v>
      </c>
      <c r="BA127" t="s">
        <v>85</v>
      </c>
      <c r="BB127">
        <v>44</v>
      </c>
      <c r="BC127">
        <v>56</v>
      </c>
      <c r="BD127" t="s">
        <v>85</v>
      </c>
      <c r="BE127" t="s">
        <v>3020</v>
      </c>
      <c r="BF127" t="str">
        <f>HYPERLINK("http://dx.doi.org/10.1177/1363461518786559","http://dx.doi.org/10.1177/1363461518786559")</f>
        <v>http://dx.doi.org/10.1177/1363461518786559</v>
      </c>
      <c r="BG127" t="s">
        <v>85</v>
      </c>
      <c r="BH127" t="s">
        <v>85</v>
      </c>
      <c r="BI127">
        <v>13</v>
      </c>
      <c r="BJ127" s="6" t="s">
        <v>3021</v>
      </c>
      <c r="BK127" t="s">
        <v>146</v>
      </c>
      <c r="BL127" t="s">
        <v>3021</v>
      </c>
      <c r="BM127" t="s">
        <v>3022</v>
      </c>
      <c r="BN127">
        <v>30074470</v>
      </c>
      <c r="BO127" t="s">
        <v>2192</v>
      </c>
      <c r="BP127" t="s">
        <v>85</v>
      </c>
      <c r="BQ127" t="s">
        <v>85</v>
      </c>
      <c r="BR127" t="s">
        <v>116</v>
      </c>
      <c r="BS127" t="s">
        <v>3023</v>
      </c>
      <c r="BT127" t="str">
        <f>HYPERLINK("https%3A%2F%2Fwww.webofscience.com%2Fwos%2Fwoscc%2Ffull-record%2FWOS:000516989200004","View Full Record in Web of Science")</f>
        <v>View Full Record in Web of Science</v>
      </c>
      <c r="BW127" s="11" t="s">
        <v>491</v>
      </c>
      <c r="BX127" s="7" t="s">
        <v>3024</v>
      </c>
      <c r="BY127" s="7" t="s">
        <v>151</v>
      </c>
      <c r="CA127" s="7" t="s">
        <v>1123</v>
      </c>
      <c r="CB127" s="7" t="s">
        <v>1802</v>
      </c>
      <c r="CC127" s="7" t="s">
        <v>3025</v>
      </c>
      <c r="CE127" s="7" t="s">
        <v>2772</v>
      </c>
    </row>
    <row r="128" spans="1:84" ht="153">
      <c r="A128" t="s">
        <v>83</v>
      </c>
      <c r="B128" t="s">
        <v>3026</v>
      </c>
      <c r="C128" t="s">
        <v>85</v>
      </c>
      <c r="D128" t="s">
        <v>85</v>
      </c>
      <c r="E128" t="s">
        <v>85</v>
      </c>
      <c r="F128" t="s">
        <v>3027</v>
      </c>
      <c r="G128" t="s">
        <v>85</v>
      </c>
      <c r="H128" t="s">
        <v>85</v>
      </c>
      <c r="I128" s="5" t="s">
        <v>3028</v>
      </c>
      <c r="J128" t="s">
        <v>264</v>
      </c>
      <c r="K128" t="s">
        <v>85</v>
      </c>
      <c r="L128" t="s">
        <v>85</v>
      </c>
      <c r="M128" t="s">
        <v>89</v>
      </c>
      <c r="N128" t="s">
        <v>90</v>
      </c>
      <c r="O128" t="s">
        <v>85</v>
      </c>
      <c r="P128" t="s">
        <v>85</v>
      </c>
      <c r="Q128" t="s">
        <v>85</v>
      </c>
      <c r="R128" t="s">
        <v>85</v>
      </c>
      <c r="S128" t="s">
        <v>85</v>
      </c>
      <c r="T128" t="s">
        <v>3029</v>
      </c>
      <c r="U128" t="s">
        <v>3030</v>
      </c>
      <c r="V128" s="9" t="s">
        <v>3031</v>
      </c>
      <c r="W128" t="s">
        <v>3032</v>
      </c>
      <c r="X128" t="s">
        <v>3033</v>
      </c>
      <c r="Y128" t="s">
        <v>3034</v>
      </c>
      <c r="Z128" t="s">
        <v>3035</v>
      </c>
      <c r="AA128" t="s">
        <v>3036</v>
      </c>
      <c r="AB128" t="s">
        <v>3037</v>
      </c>
      <c r="AC128" t="s">
        <v>3038</v>
      </c>
      <c r="AD128" t="s">
        <v>3039</v>
      </c>
      <c r="AE128" t="s">
        <v>3040</v>
      </c>
      <c r="AF128" t="s">
        <v>85</v>
      </c>
      <c r="AG128">
        <v>54</v>
      </c>
      <c r="AH128">
        <v>11</v>
      </c>
      <c r="AI128">
        <v>11</v>
      </c>
      <c r="AJ128">
        <v>3</v>
      </c>
      <c r="AK128">
        <v>28</v>
      </c>
      <c r="AL128" t="s">
        <v>275</v>
      </c>
      <c r="AM128" t="s">
        <v>276</v>
      </c>
      <c r="AN128" t="s">
        <v>277</v>
      </c>
      <c r="AO128" t="s">
        <v>278</v>
      </c>
      <c r="AP128" t="s">
        <v>279</v>
      </c>
      <c r="AQ128" t="s">
        <v>85</v>
      </c>
      <c r="AR128" t="s">
        <v>280</v>
      </c>
      <c r="AS128" t="s">
        <v>281</v>
      </c>
      <c r="AT128" t="s">
        <v>544</v>
      </c>
      <c r="AU128" s="6">
        <v>2020</v>
      </c>
      <c r="AV128">
        <v>47</v>
      </c>
      <c r="AW128" t="s">
        <v>85</v>
      </c>
      <c r="AX128" t="s">
        <v>85</v>
      </c>
      <c r="AY128" t="s">
        <v>85</v>
      </c>
      <c r="AZ128" t="s">
        <v>85</v>
      </c>
      <c r="BA128" t="s">
        <v>85</v>
      </c>
      <c r="BB128" t="s">
        <v>85</v>
      </c>
      <c r="BC128" t="s">
        <v>85</v>
      </c>
      <c r="BD128">
        <v>126523</v>
      </c>
      <c r="BE128" t="s">
        <v>3041</v>
      </c>
      <c r="BF128" t="str">
        <f>HYPERLINK("http://dx.doi.org/10.1016/j.ufug.2019.126523","http://dx.doi.org/10.1016/j.ufug.2019.126523")</f>
        <v>http://dx.doi.org/10.1016/j.ufug.2019.126523</v>
      </c>
      <c r="BG128" t="s">
        <v>85</v>
      </c>
      <c r="BH128" t="s">
        <v>85</v>
      </c>
      <c r="BI128">
        <v>12</v>
      </c>
      <c r="BJ128" s="6" t="s">
        <v>284</v>
      </c>
      <c r="BK128" t="s">
        <v>171</v>
      </c>
      <c r="BL128" t="s">
        <v>285</v>
      </c>
      <c r="BM128" t="s">
        <v>3042</v>
      </c>
      <c r="BN128" t="s">
        <v>85</v>
      </c>
      <c r="BO128" t="s">
        <v>1797</v>
      </c>
      <c r="BP128" t="s">
        <v>85</v>
      </c>
      <c r="BQ128" t="s">
        <v>85</v>
      </c>
      <c r="BR128" t="s">
        <v>116</v>
      </c>
      <c r="BS128" t="s">
        <v>3043</v>
      </c>
      <c r="BT128" t="str">
        <f>HYPERLINK("https%3A%2F%2Fwww.webofscience.com%2Fwos%2Fwoscc%2Ffull-record%2FWOS:000508389000011","View Full Record in Web of Science")</f>
        <v>View Full Record in Web of Science</v>
      </c>
      <c r="BW128" s="11" t="s">
        <v>365</v>
      </c>
      <c r="BX128" s="7" t="s">
        <v>3044</v>
      </c>
      <c r="BY128" s="7" t="s">
        <v>289</v>
      </c>
      <c r="CA128" s="7" t="s">
        <v>1486</v>
      </c>
      <c r="CB128" s="7" t="s">
        <v>1802</v>
      </c>
      <c r="CC128" s="7" t="s">
        <v>2084</v>
      </c>
      <c r="CD128" s="7" t="s">
        <v>622</v>
      </c>
      <c r="CE128" s="7" t="s">
        <v>554</v>
      </c>
      <c r="CF128" s="7" t="s">
        <v>3045</v>
      </c>
    </row>
    <row r="129" spans="1:85" ht="195">
      <c r="A129" t="s">
        <v>83</v>
      </c>
      <c r="B129" t="s">
        <v>3046</v>
      </c>
      <c r="C129" t="s">
        <v>85</v>
      </c>
      <c r="D129" t="s">
        <v>85</v>
      </c>
      <c r="E129" t="s">
        <v>85</v>
      </c>
      <c r="F129" t="s">
        <v>3047</v>
      </c>
      <c r="G129" t="s">
        <v>85</v>
      </c>
      <c r="H129" t="s">
        <v>85</v>
      </c>
      <c r="I129" s="5" t="s">
        <v>3048</v>
      </c>
      <c r="J129" t="s">
        <v>3049</v>
      </c>
      <c r="K129" t="s">
        <v>85</v>
      </c>
      <c r="L129" t="s">
        <v>85</v>
      </c>
      <c r="M129" t="s">
        <v>89</v>
      </c>
      <c r="N129" t="s">
        <v>90</v>
      </c>
      <c r="O129" t="s">
        <v>85</v>
      </c>
      <c r="P129" t="s">
        <v>85</v>
      </c>
      <c r="Q129" t="s">
        <v>85</v>
      </c>
      <c r="R129" t="s">
        <v>85</v>
      </c>
      <c r="S129" t="s">
        <v>85</v>
      </c>
      <c r="T129" t="s">
        <v>3050</v>
      </c>
      <c r="U129" t="s">
        <v>3051</v>
      </c>
      <c r="V129" s="5" t="s">
        <v>3052</v>
      </c>
      <c r="W129" t="s">
        <v>3053</v>
      </c>
      <c r="X129" t="s">
        <v>85</v>
      </c>
      <c r="Y129" t="s">
        <v>3054</v>
      </c>
      <c r="Z129" t="s">
        <v>3055</v>
      </c>
      <c r="AA129" t="s">
        <v>85</v>
      </c>
      <c r="AB129" t="s">
        <v>3056</v>
      </c>
      <c r="AC129" t="s">
        <v>85</v>
      </c>
      <c r="AD129" t="s">
        <v>85</v>
      </c>
      <c r="AE129" t="s">
        <v>85</v>
      </c>
      <c r="AF129" t="s">
        <v>85</v>
      </c>
      <c r="AG129">
        <v>41</v>
      </c>
      <c r="AH129">
        <v>2</v>
      </c>
      <c r="AI129">
        <v>2</v>
      </c>
      <c r="AJ129">
        <v>4</v>
      </c>
      <c r="AK129">
        <v>28</v>
      </c>
      <c r="AL129" t="s">
        <v>3057</v>
      </c>
      <c r="AM129" t="s">
        <v>3058</v>
      </c>
      <c r="AN129" t="s">
        <v>3059</v>
      </c>
      <c r="AO129" t="s">
        <v>3060</v>
      </c>
      <c r="AP129" t="s">
        <v>3061</v>
      </c>
      <c r="AQ129" t="s">
        <v>85</v>
      </c>
      <c r="AR129" t="s">
        <v>3062</v>
      </c>
      <c r="AS129" t="s">
        <v>3063</v>
      </c>
      <c r="AT129" t="s">
        <v>85</v>
      </c>
      <c r="AU129" s="6">
        <v>2020</v>
      </c>
      <c r="AV129" t="s">
        <v>85</v>
      </c>
      <c r="AW129">
        <v>39</v>
      </c>
      <c r="AX129" t="s">
        <v>85</v>
      </c>
      <c r="AY129" t="s">
        <v>85</v>
      </c>
      <c r="AZ129" t="s">
        <v>85</v>
      </c>
      <c r="BA129" t="s">
        <v>85</v>
      </c>
      <c r="BB129">
        <v>8</v>
      </c>
      <c r="BC129">
        <v>22</v>
      </c>
      <c r="BD129" t="s">
        <v>85</v>
      </c>
      <c r="BE129" t="s">
        <v>3064</v>
      </c>
      <c r="BF129" t="str">
        <f>HYPERLINK("http://dx.doi.org/10.12795/rea.2020.i39.01","http://dx.doi.org/10.12795/rea.2020.i39.01")</f>
        <v>http://dx.doi.org/10.12795/rea.2020.i39.01</v>
      </c>
      <c r="BG129" t="s">
        <v>85</v>
      </c>
      <c r="BH129" t="s">
        <v>85</v>
      </c>
      <c r="BI129">
        <v>15</v>
      </c>
      <c r="BJ129" s="6" t="s">
        <v>3065</v>
      </c>
      <c r="BK129" t="s">
        <v>1778</v>
      </c>
      <c r="BL129" t="s">
        <v>3065</v>
      </c>
      <c r="BM129" t="s">
        <v>3066</v>
      </c>
      <c r="BN129" t="s">
        <v>85</v>
      </c>
      <c r="BO129" t="s">
        <v>2063</v>
      </c>
      <c r="BP129" t="s">
        <v>85</v>
      </c>
      <c r="BQ129" t="s">
        <v>85</v>
      </c>
      <c r="BR129" t="s">
        <v>116</v>
      </c>
      <c r="BS129" t="s">
        <v>3067</v>
      </c>
      <c r="BT129" t="str">
        <f>HYPERLINK("https%3A%2F%2Fwww.webofscience.com%2Fwos%2Fwoscc%2Ffull-record%2FWOS:000517795200001","View Full Record in Web of Science")</f>
        <v>View Full Record in Web of Science</v>
      </c>
      <c r="BW129" s="11" t="s">
        <v>149</v>
      </c>
      <c r="BX129" s="7" t="s">
        <v>3068</v>
      </c>
      <c r="BY129" s="7" t="s">
        <v>151</v>
      </c>
      <c r="CA129" s="7" t="s">
        <v>3069</v>
      </c>
      <c r="CB129" s="7" t="s">
        <v>1802</v>
      </c>
      <c r="CC129" s="7" t="s">
        <v>2084</v>
      </c>
      <c r="CD129" s="7" t="s">
        <v>622</v>
      </c>
      <c r="CE129" s="7" t="s">
        <v>2547</v>
      </c>
      <c r="CF129" s="7" t="s">
        <v>3070</v>
      </c>
    </row>
    <row r="130" spans="1:85" ht="240">
      <c r="A130" t="s">
        <v>83</v>
      </c>
      <c r="B130" t="s">
        <v>3071</v>
      </c>
      <c r="C130" t="s">
        <v>85</v>
      </c>
      <c r="D130" t="s">
        <v>85</v>
      </c>
      <c r="E130" t="s">
        <v>85</v>
      </c>
      <c r="F130" t="s">
        <v>3072</v>
      </c>
      <c r="G130" t="s">
        <v>85</v>
      </c>
      <c r="H130" t="s">
        <v>85</v>
      </c>
      <c r="I130" s="5" t="s">
        <v>3073</v>
      </c>
      <c r="J130" t="s">
        <v>874</v>
      </c>
      <c r="K130" t="s">
        <v>85</v>
      </c>
      <c r="L130" t="s">
        <v>85</v>
      </c>
      <c r="M130" t="s">
        <v>89</v>
      </c>
      <c r="N130" t="s">
        <v>90</v>
      </c>
      <c r="O130" t="s">
        <v>85</v>
      </c>
      <c r="P130" t="s">
        <v>85</v>
      </c>
      <c r="Q130" t="s">
        <v>85</v>
      </c>
      <c r="R130" t="s">
        <v>85</v>
      </c>
      <c r="S130" t="s">
        <v>85</v>
      </c>
      <c r="T130" t="s">
        <v>3074</v>
      </c>
      <c r="U130" t="s">
        <v>3075</v>
      </c>
      <c r="V130" s="5" t="s">
        <v>3076</v>
      </c>
      <c r="W130" t="s">
        <v>3077</v>
      </c>
      <c r="X130" t="s">
        <v>1353</v>
      </c>
      <c r="Y130" t="s">
        <v>3078</v>
      </c>
      <c r="Z130" t="s">
        <v>3079</v>
      </c>
      <c r="AA130" t="s">
        <v>85</v>
      </c>
      <c r="AB130" t="s">
        <v>85</v>
      </c>
      <c r="AC130" t="s">
        <v>3080</v>
      </c>
      <c r="AD130" t="s">
        <v>3081</v>
      </c>
      <c r="AE130" t="s">
        <v>3082</v>
      </c>
      <c r="AF130" t="s">
        <v>85</v>
      </c>
      <c r="AG130">
        <v>48</v>
      </c>
      <c r="AH130">
        <v>5</v>
      </c>
      <c r="AI130">
        <v>5</v>
      </c>
      <c r="AJ130">
        <v>13</v>
      </c>
      <c r="AK130">
        <v>53</v>
      </c>
      <c r="AL130" t="s">
        <v>137</v>
      </c>
      <c r="AM130" t="s">
        <v>138</v>
      </c>
      <c r="AN130" t="s">
        <v>139</v>
      </c>
      <c r="AO130" t="s">
        <v>3083</v>
      </c>
      <c r="AP130" t="s">
        <v>884</v>
      </c>
      <c r="AQ130" t="s">
        <v>85</v>
      </c>
      <c r="AR130" t="s">
        <v>885</v>
      </c>
      <c r="AS130" t="s">
        <v>886</v>
      </c>
      <c r="AT130" t="s">
        <v>3084</v>
      </c>
      <c r="AU130" s="6">
        <v>2019</v>
      </c>
      <c r="AV130">
        <v>16</v>
      </c>
      <c r="AW130">
        <v>24</v>
      </c>
      <c r="AX130" t="s">
        <v>85</v>
      </c>
      <c r="AY130" t="s">
        <v>85</v>
      </c>
      <c r="AZ130" t="s">
        <v>85</v>
      </c>
      <c r="BA130" t="s">
        <v>85</v>
      </c>
      <c r="BB130" t="s">
        <v>85</v>
      </c>
      <c r="BC130" t="s">
        <v>85</v>
      </c>
      <c r="BD130">
        <v>4994</v>
      </c>
      <c r="BE130" t="s">
        <v>3085</v>
      </c>
      <c r="BF130" t="str">
        <f>HYPERLINK("http://dx.doi.org/10.3390/ijerph16244994","http://dx.doi.org/10.3390/ijerph16244994")</f>
        <v>http://dx.doi.org/10.3390/ijerph16244994</v>
      </c>
      <c r="BG130" t="s">
        <v>85</v>
      </c>
      <c r="BH130" t="s">
        <v>85</v>
      </c>
      <c r="BI130">
        <v>27</v>
      </c>
      <c r="BJ130" s="6" t="s">
        <v>889</v>
      </c>
      <c r="BK130" t="s">
        <v>171</v>
      </c>
      <c r="BL130" t="s">
        <v>890</v>
      </c>
      <c r="BM130" t="s">
        <v>3086</v>
      </c>
      <c r="BN130">
        <v>31817998</v>
      </c>
      <c r="BO130" t="s">
        <v>1120</v>
      </c>
      <c r="BP130" t="s">
        <v>85</v>
      </c>
      <c r="BQ130" t="s">
        <v>85</v>
      </c>
      <c r="BR130" t="s">
        <v>116</v>
      </c>
      <c r="BS130" t="s">
        <v>3087</v>
      </c>
      <c r="BT130" t="str">
        <f>HYPERLINK("https%3A%2F%2Fwww.webofscience.com%2Fwos%2Fwoscc%2Ffull-record%2FWOS:000507312700114","View Full Record in Web of Science")</f>
        <v>View Full Record in Web of Science</v>
      </c>
      <c r="BW130" s="11" t="s">
        <v>491</v>
      </c>
      <c r="BX130" s="7" t="s">
        <v>3088</v>
      </c>
      <c r="BY130" s="7" t="s">
        <v>289</v>
      </c>
      <c r="CA130" s="7" t="s">
        <v>3089</v>
      </c>
      <c r="CB130" s="7" t="s">
        <v>1802</v>
      </c>
      <c r="CC130" s="7" t="s">
        <v>2084</v>
      </c>
      <c r="CD130" s="7" t="s">
        <v>622</v>
      </c>
      <c r="CE130" s="7" t="s">
        <v>554</v>
      </c>
      <c r="CF130" s="7" t="s">
        <v>154</v>
      </c>
    </row>
    <row r="131" spans="1:85" ht="165">
      <c r="A131" t="s">
        <v>83</v>
      </c>
      <c r="B131" t="s">
        <v>3090</v>
      </c>
      <c r="C131" t="s">
        <v>85</v>
      </c>
      <c r="D131" t="s">
        <v>85</v>
      </c>
      <c r="E131" t="s">
        <v>85</v>
      </c>
      <c r="F131" t="s">
        <v>3091</v>
      </c>
      <c r="G131" t="s">
        <v>85</v>
      </c>
      <c r="H131" t="s">
        <v>85</v>
      </c>
      <c r="I131" s="5" t="s">
        <v>3092</v>
      </c>
      <c r="J131" t="s">
        <v>3093</v>
      </c>
      <c r="K131" t="s">
        <v>85</v>
      </c>
      <c r="L131" t="s">
        <v>85</v>
      </c>
      <c r="M131" t="s">
        <v>89</v>
      </c>
      <c r="N131" t="s">
        <v>90</v>
      </c>
      <c r="O131" t="s">
        <v>85</v>
      </c>
      <c r="P131" t="s">
        <v>85</v>
      </c>
      <c r="Q131" t="s">
        <v>85</v>
      </c>
      <c r="R131" t="s">
        <v>85</v>
      </c>
      <c r="S131" t="s">
        <v>85</v>
      </c>
      <c r="T131" t="s">
        <v>3094</v>
      </c>
      <c r="U131" t="s">
        <v>3095</v>
      </c>
      <c r="V131" s="5" t="s">
        <v>3096</v>
      </c>
      <c r="W131" t="s">
        <v>3097</v>
      </c>
      <c r="X131" t="s">
        <v>3098</v>
      </c>
      <c r="Y131" t="s">
        <v>3099</v>
      </c>
      <c r="Z131" t="s">
        <v>3100</v>
      </c>
      <c r="AA131" t="s">
        <v>85</v>
      </c>
      <c r="AB131" t="s">
        <v>3101</v>
      </c>
      <c r="AC131" t="s">
        <v>3102</v>
      </c>
      <c r="AD131" t="s">
        <v>3103</v>
      </c>
      <c r="AE131" t="s">
        <v>3104</v>
      </c>
      <c r="AF131" t="s">
        <v>85</v>
      </c>
      <c r="AG131">
        <v>75</v>
      </c>
      <c r="AH131">
        <v>44</v>
      </c>
      <c r="AI131">
        <v>46</v>
      </c>
      <c r="AJ131">
        <v>10</v>
      </c>
      <c r="AK131">
        <v>84</v>
      </c>
      <c r="AL131" t="s">
        <v>478</v>
      </c>
      <c r="AM131" t="s">
        <v>479</v>
      </c>
      <c r="AN131" t="s">
        <v>480</v>
      </c>
      <c r="AO131" t="s">
        <v>3105</v>
      </c>
      <c r="AP131" t="s">
        <v>3106</v>
      </c>
      <c r="AQ131" t="s">
        <v>85</v>
      </c>
      <c r="AR131" t="s">
        <v>3093</v>
      </c>
      <c r="AS131" t="s">
        <v>3107</v>
      </c>
      <c r="AT131" t="s">
        <v>761</v>
      </c>
      <c r="AU131" s="6">
        <v>2019</v>
      </c>
      <c r="AV131">
        <v>39</v>
      </c>
      <c r="AW131">
        <v>6</v>
      </c>
      <c r="AX131" t="s">
        <v>85</v>
      </c>
      <c r="AY131" t="s">
        <v>85</v>
      </c>
      <c r="AZ131" t="s">
        <v>85</v>
      </c>
      <c r="BA131" t="s">
        <v>85</v>
      </c>
      <c r="BB131">
        <v>1295</v>
      </c>
      <c r="BC131">
        <v>1302</v>
      </c>
      <c r="BD131" t="s">
        <v>85</v>
      </c>
      <c r="BE131" t="s">
        <v>3108</v>
      </c>
      <c r="BF131" t="str">
        <f>HYPERLINK("http://dx.doi.org/10.1007/s13157-018-1039-0","http://dx.doi.org/10.1007/s13157-018-1039-0")</f>
        <v>http://dx.doi.org/10.1007/s13157-018-1039-0</v>
      </c>
      <c r="BG131" t="s">
        <v>85</v>
      </c>
      <c r="BH131" t="s">
        <v>85</v>
      </c>
      <c r="BI131">
        <v>8</v>
      </c>
      <c r="BJ131" s="6" t="s">
        <v>3109</v>
      </c>
      <c r="BK131" t="s">
        <v>171</v>
      </c>
      <c r="BL131" t="s">
        <v>113</v>
      </c>
      <c r="BM131" t="s">
        <v>3110</v>
      </c>
      <c r="BN131" t="s">
        <v>85</v>
      </c>
      <c r="BO131" t="s">
        <v>206</v>
      </c>
      <c r="BP131" t="s">
        <v>85</v>
      </c>
      <c r="BQ131" t="s">
        <v>85</v>
      </c>
      <c r="BR131" t="s">
        <v>116</v>
      </c>
      <c r="BS131" t="s">
        <v>3111</v>
      </c>
      <c r="BT131" t="str">
        <f>HYPERLINK("https%3A%2F%2Fwww.webofscience.com%2Fwos%2Fwoscc%2Ffull-record%2FWOS:000518209900013","View Full Record in Web of Science")</f>
        <v>View Full Record in Web of Science</v>
      </c>
      <c r="BW131" s="11" t="s">
        <v>491</v>
      </c>
      <c r="BX131" s="7" t="s">
        <v>3112</v>
      </c>
      <c r="BY131" s="7" t="s">
        <v>151</v>
      </c>
      <c r="CA131" s="7" t="s">
        <v>3113</v>
      </c>
      <c r="CB131" s="7" t="s">
        <v>1802</v>
      </c>
      <c r="CC131" s="7" t="s">
        <v>1861</v>
      </c>
      <c r="CG131" s="8" t="s">
        <v>3114</v>
      </c>
    </row>
    <row r="132" spans="1:85" ht="180">
      <c r="A132" t="s">
        <v>83</v>
      </c>
      <c r="B132" t="s">
        <v>3115</v>
      </c>
      <c r="C132" t="s">
        <v>85</v>
      </c>
      <c r="D132" t="s">
        <v>85</v>
      </c>
      <c r="E132" t="s">
        <v>85</v>
      </c>
      <c r="F132" t="s">
        <v>3116</v>
      </c>
      <c r="G132" t="s">
        <v>85</v>
      </c>
      <c r="H132" t="s">
        <v>85</v>
      </c>
      <c r="I132" s="5" t="s">
        <v>3117</v>
      </c>
      <c r="J132" t="s">
        <v>874</v>
      </c>
      <c r="K132" t="s">
        <v>85</v>
      </c>
      <c r="L132" t="s">
        <v>85</v>
      </c>
      <c r="M132" t="s">
        <v>89</v>
      </c>
      <c r="N132" t="s">
        <v>90</v>
      </c>
      <c r="O132" t="s">
        <v>85</v>
      </c>
      <c r="P132" t="s">
        <v>85</v>
      </c>
      <c r="Q132" t="s">
        <v>85</v>
      </c>
      <c r="R132" t="s">
        <v>85</v>
      </c>
      <c r="S132" t="s">
        <v>85</v>
      </c>
      <c r="T132" t="s">
        <v>3118</v>
      </c>
      <c r="U132" t="s">
        <v>3119</v>
      </c>
      <c r="V132" s="5" t="s">
        <v>3120</v>
      </c>
      <c r="W132" t="s">
        <v>3121</v>
      </c>
      <c r="X132" t="s">
        <v>3122</v>
      </c>
      <c r="Y132" t="s">
        <v>3123</v>
      </c>
      <c r="Z132" t="s">
        <v>3124</v>
      </c>
      <c r="AA132" t="s">
        <v>85</v>
      </c>
      <c r="AB132" t="s">
        <v>3125</v>
      </c>
      <c r="AC132" t="s">
        <v>3126</v>
      </c>
      <c r="AD132" t="s">
        <v>3127</v>
      </c>
      <c r="AE132" t="s">
        <v>3128</v>
      </c>
      <c r="AF132" t="s">
        <v>85</v>
      </c>
      <c r="AG132">
        <v>75</v>
      </c>
      <c r="AH132">
        <v>41</v>
      </c>
      <c r="AI132">
        <v>41</v>
      </c>
      <c r="AJ132">
        <v>9</v>
      </c>
      <c r="AK132">
        <v>63</v>
      </c>
      <c r="AL132" t="s">
        <v>137</v>
      </c>
      <c r="AM132" t="s">
        <v>138</v>
      </c>
      <c r="AN132" t="s">
        <v>139</v>
      </c>
      <c r="AO132" t="s">
        <v>3083</v>
      </c>
      <c r="AP132" t="s">
        <v>884</v>
      </c>
      <c r="AQ132" t="s">
        <v>85</v>
      </c>
      <c r="AR132" t="s">
        <v>885</v>
      </c>
      <c r="AS132" t="s">
        <v>886</v>
      </c>
      <c r="AT132" t="s">
        <v>887</v>
      </c>
      <c r="AU132" s="6">
        <v>2019</v>
      </c>
      <c r="AV132">
        <v>16</v>
      </c>
      <c r="AW132">
        <v>22</v>
      </c>
      <c r="AX132" t="s">
        <v>85</v>
      </c>
      <c r="AY132" t="s">
        <v>85</v>
      </c>
      <c r="AZ132" t="s">
        <v>85</v>
      </c>
      <c r="BA132" t="s">
        <v>85</v>
      </c>
      <c r="BB132" t="s">
        <v>85</v>
      </c>
      <c r="BC132" t="s">
        <v>85</v>
      </c>
      <c r="BD132">
        <v>4413</v>
      </c>
      <c r="BE132" t="s">
        <v>3129</v>
      </c>
      <c r="BF132" t="str">
        <f>HYPERLINK("http://dx.doi.org/10.3390/ijerph16224413","http://dx.doi.org/10.3390/ijerph16224413")</f>
        <v>http://dx.doi.org/10.3390/ijerph16224413</v>
      </c>
      <c r="BG132" t="s">
        <v>85</v>
      </c>
      <c r="BH132" t="s">
        <v>85</v>
      </c>
      <c r="BI132">
        <v>17</v>
      </c>
      <c r="BJ132" s="6" t="s">
        <v>889</v>
      </c>
      <c r="BK132" t="s">
        <v>171</v>
      </c>
      <c r="BL132" t="s">
        <v>890</v>
      </c>
      <c r="BM132" t="s">
        <v>3130</v>
      </c>
      <c r="BN132">
        <v>31718035</v>
      </c>
      <c r="BO132" t="s">
        <v>363</v>
      </c>
      <c r="BP132" t="s">
        <v>85</v>
      </c>
      <c r="BQ132" t="s">
        <v>85</v>
      </c>
      <c r="BR132" t="s">
        <v>116</v>
      </c>
      <c r="BS132" t="s">
        <v>3131</v>
      </c>
      <c r="BT132" t="str">
        <f>HYPERLINK("https%3A%2F%2Fwww.webofscience.com%2Fwos%2Fwoscc%2Ffull-record%2FWOS:000502057400110","View Full Record in Web of Science")</f>
        <v>View Full Record in Web of Science</v>
      </c>
      <c r="BW132" s="11" t="s">
        <v>149</v>
      </c>
      <c r="BX132" s="7" t="s">
        <v>3132</v>
      </c>
      <c r="CA132" s="7" t="s">
        <v>3133</v>
      </c>
      <c r="CB132" s="7" t="s">
        <v>1802</v>
      </c>
      <c r="CC132" s="7" t="s">
        <v>2084</v>
      </c>
      <c r="CD132" s="7" t="s">
        <v>622</v>
      </c>
      <c r="CE132" s="7" t="s">
        <v>2665</v>
      </c>
      <c r="CF132" s="7" t="s">
        <v>3134</v>
      </c>
    </row>
    <row r="133" spans="1:85" ht="195">
      <c r="A133" t="s">
        <v>83</v>
      </c>
      <c r="B133" t="s">
        <v>3135</v>
      </c>
      <c r="C133" t="s">
        <v>85</v>
      </c>
      <c r="D133" t="s">
        <v>85</v>
      </c>
      <c r="E133" t="s">
        <v>85</v>
      </c>
      <c r="F133" t="s">
        <v>3136</v>
      </c>
      <c r="G133" t="s">
        <v>85</v>
      </c>
      <c r="H133" t="s">
        <v>85</v>
      </c>
      <c r="I133" s="5" t="s">
        <v>3137</v>
      </c>
      <c r="J133" t="s">
        <v>312</v>
      </c>
      <c r="K133" t="s">
        <v>85</v>
      </c>
      <c r="L133" t="s">
        <v>85</v>
      </c>
      <c r="M133" t="s">
        <v>89</v>
      </c>
      <c r="N133" t="s">
        <v>90</v>
      </c>
      <c r="O133" t="s">
        <v>85</v>
      </c>
      <c r="P133" t="s">
        <v>85</v>
      </c>
      <c r="Q133" t="s">
        <v>85</v>
      </c>
      <c r="R133" t="s">
        <v>85</v>
      </c>
      <c r="S133" t="s">
        <v>85</v>
      </c>
      <c r="T133" t="s">
        <v>3138</v>
      </c>
      <c r="U133" t="s">
        <v>3139</v>
      </c>
      <c r="V133" s="5" t="s">
        <v>3140</v>
      </c>
      <c r="W133" t="s">
        <v>3141</v>
      </c>
      <c r="X133" t="s">
        <v>3142</v>
      </c>
      <c r="Y133" t="s">
        <v>3143</v>
      </c>
      <c r="Z133" t="s">
        <v>3144</v>
      </c>
      <c r="AA133" t="s">
        <v>3145</v>
      </c>
      <c r="AB133" t="s">
        <v>3146</v>
      </c>
      <c r="AC133" t="s">
        <v>3147</v>
      </c>
      <c r="AD133" t="s">
        <v>3148</v>
      </c>
      <c r="AE133" t="s">
        <v>3149</v>
      </c>
      <c r="AF133" t="s">
        <v>85</v>
      </c>
      <c r="AG133">
        <v>60</v>
      </c>
      <c r="AH133">
        <v>32</v>
      </c>
      <c r="AI133">
        <v>33</v>
      </c>
      <c r="AJ133">
        <v>8</v>
      </c>
      <c r="AK133">
        <v>126</v>
      </c>
      <c r="AL133" t="s">
        <v>193</v>
      </c>
      <c r="AM133" t="s">
        <v>194</v>
      </c>
      <c r="AN133" t="s">
        <v>195</v>
      </c>
      <c r="AO133" t="s">
        <v>325</v>
      </c>
      <c r="AP133" t="s">
        <v>326</v>
      </c>
      <c r="AQ133" t="s">
        <v>85</v>
      </c>
      <c r="AR133" t="s">
        <v>327</v>
      </c>
      <c r="AS133" t="s">
        <v>328</v>
      </c>
      <c r="AT133" t="s">
        <v>887</v>
      </c>
      <c r="AU133" s="6">
        <v>2019</v>
      </c>
      <c r="AV133">
        <v>191</v>
      </c>
      <c r="AW133" t="s">
        <v>85</v>
      </c>
      <c r="AX133" t="s">
        <v>85</v>
      </c>
      <c r="AY133" t="s">
        <v>85</v>
      </c>
      <c r="AZ133" t="s">
        <v>85</v>
      </c>
      <c r="BA133" t="s">
        <v>85</v>
      </c>
      <c r="BB133" t="s">
        <v>85</v>
      </c>
      <c r="BC133" t="s">
        <v>85</v>
      </c>
      <c r="BD133">
        <v>103638</v>
      </c>
      <c r="BE133" t="s">
        <v>3150</v>
      </c>
      <c r="BF133" t="str">
        <f>HYPERLINK("http://dx.doi.org/10.1016/j.landurbplan.2019.103638","http://dx.doi.org/10.1016/j.landurbplan.2019.103638")</f>
        <v>http://dx.doi.org/10.1016/j.landurbplan.2019.103638</v>
      </c>
      <c r="BG133" t="s">
        <v>85</v>
      </c>
      <c r="BH133" t="s">
        <v>85</v>
      </c>
      <c r="BI133">
        <v>8</v>
      </c>
      <c r="BJ133" s="6" t="s">
        <v>331</v>
      </c>
      <c r="BK133" t="s">
        <v>171</v>
      </c>
      <c r="BL133" t="s">
        <v>332</v>
      </c>
      <c r="BM133" t="s">
        <v>3151</v>
      </c>
      <c r="BN133" t="s">
        <v>85</v>
      </c>
      <c r="BO133" t="s">
        <v>1797</v>
      </c>
      <c r="BP133" t="s">
        <v>85</v>
      </c>
      <c r="BQ133" t="s">
        <v>85</v>
      </c>
      <c r="BR133" t="s">
        <v>116</v>
      </c>
      <c r="BS133" t="s">
        <v>3152</v>
      </c>
      <c r="BT133" t="str">
        <f>HYPERLINK("https%3A%2F%2Fwww.webofscience.com%2Fwos%2Fwoscc%2Ffull-record%2FWOS:000491614300017","View Full Record in Web of Science")</f>
        <v>View Full Record in Web of Science</v>
      </c>
      <c r="BW133" s="11" t="s">
        <v>491</v>
      </c>
      <c r="BX133" s="7" t="s">
        <v>3153</v>
      </c>
      <c r="BY133" s="7" t="s">
        <v>289</v>
      </c>
      <c r="CA133" s="7" t="s">
        <v>3154</v>
      </c>
      <c r="CB133" s="7" t="s">
        <v>1802</v>
      </c>
      <c r="CC133" s="7" t="s">
        <v>2084</v>
      </c>
      <c r="CD133" s="7" t="s">
        <v>622</v>
      </c>
      <c r="CE133" s="7" t="s">
        <v>554</v>
      </c>
      <c r="CF133" s="7" t="s">
        <v>2022</v>
      </c>
    </row>
    <row r="134" spans="1:85" ht="210">
      <c r="A134" t="s">
        <v>83</v>
      </c>
      <c r="B134" t="s">
        <v>3155</v>
      </c>
      <c r="C134" t="s">
        <v>85</v>
      </c>
      <c r="D134" t="s">
        <v>85</v>
      </c>
      <c r="E134" t="s">
        <v>85</v>
      </c>
      <c r="F134" t="s">
        <v>3156</v>
      </c>
      <c r="G134" t="s">
        <v>85</v>
      </c>
      <c r="H134" t="s">
        <v>85</v>
      </c>
      <c r="I134" s="5" t="s">
        <v>3157</v>
      </c>
      <c r="J134" t="s">
        <v>1490</v>
      </c>
      <c r="K134" t="s">
        <v>85</v>
      </c>
      <c r="L134" t="s">
        <v>85</v>
      </c>
      <c r="M134" t="s">
        <v>89</v>
      </c>
      <c r="N134" t="s">
        <v>90</v>
      </c>
      <c r="O134" t="s">
        <v>85</v>
      </c>
      <c r="P134" t="s">
        <v>85</v>
      </c>
      <c r="Q134" t="s">
        <v>85</v>
      </c>
      <c r="R134" t="s">
        <v>85</v>
      </c>
      <c r="S134" t="s">
        <v>85</v>
      </c>
      <c r="T134" t="s">
        <v>3158</v>
      </c>
      <c r="U134" t="s">
        <v>3159</v>
      </c>
      <c r="V134" s="5" t="s">
        <v>3160</v>
      </c>
      <c r="W134" t="s">
        <v>3161</v>
      </c>
      <c r="X134" t="s">
        <v>3162</v>
      </c>
      <c r="Y134" t="s">
        <v>3163</v>
      </c>
      <c r="Z134" t="s">
        <v>3164</v>
      </c>
      <c r="AA134" t="s">
        <v>3165</v>
      </c>
      <c r="AB134" t="s">
        <v>3166</v>
      </c>
      <c r="AC134" t="s">
        <v>3167</v>
      </c>
      <c r="AD134" t="s">
        <v>3167</v>
      </c>
      <c r="AE134" t="s">
        <v>3168</v>
      </c>
      <c r="AF134" t="s">
        <v>85</v>
      </c>
      <c r="AG134">
        <v>116</v>
      </c>
      <c r="AH134">
        <v>45</v>
      </c>
      <c r="AI134">
        <v>47</v>
      </c>
      <c r="AJ134">
        <v>11</v>
      </c>
      <c r="AK134">
        <v>79</v>
      </c>
      <c r="AL134" t="s">
        <v>1503</v>
      </c>
      <c r="AM134" t="s">
        <v>1504</v>
      </c>
      <c r="AN134" t="s">
        <v>1505</v>
      </c>
      <c r="AO134" t="s">
        <v>1506</v>
      </c>
      <c r="AP134" t="s">
        <v>1507</v>
      </c>
      <c r="AQ134" t="s">
        <v>85</v>
      </c>
      <c r="AR134" t="s">
        <v>1508</v>
      </c>
      <c r="AS134" t="s">
        <v>1509</v>
      </c>
      <c r="AT134" t="s">
        <v>887</v>
      </c>
      <c r="AU134" s="6">
        <v>2019</v>
      </c>
      <c r="AV134">
        <v>178</v>
      </c>
      <c r="AW134" t="s">
        <v>85</v>
      </c>
      <c r="AX134" t="s">
        <v>85</v>
      </c>
      <c r="AY134" t="s">
        <v>85</v>
      </c>
      <c r="AZ134" t="s">
        <v>85</v>
      </c>
      <c r="BA134" t="s">
        <v>85</v>
      </c>
      <c r="BB134" t="s">
        <v>85</v>
      </c>
      <c r="BC134" t="s">
        <v>85</v>
      </c>
      <c r="BD134">
        <v>108708</v>
      </c>
      <c r="BE134" t="s">
        <v>3169</v>
      </c>
      <c r="BF134" t="str">
        <f>HYPERLINK("http://dx.doi.org/10.1016/j.envres.2019.108708","http://dx.doi.org/10.1016/j.envres.2019.108708")</f>
        <v>http://dx.doi.org/10.1016/j.envres.2019.108708</v>
      </c>
      <c r="BG134" t="s">
        <v>85</v>
      </c>
      <c r="BH134" t="s">
        <v>85</v>
      </c>
      <c r="BI134">
        <v>12</v>
      </c>
      <c r="BJ134" s="6" t="s">
        <v>889</v>
      </c>
      <c r="BK134" t="s">
        <v>171</v>
      </c>
      <c r="BL134" t="s">
        <v>890</v>
      </c>
      <c r="BM134" t="s">
        <v>3170</v>
      </c>
      <c r="BN134">
        <v>31526908</v>
      </c>
      <c r="BO134" t="s">
        <v>85</v>
      </c>
      <c r="BP134" t="s">
        <v>85</v>
      </c>
      <c r="BQ134" t="s">
        <v>85</v>
      </c>
      <c r="BR134" t="s">
        <v>116</v>
      </c>
      <c r="BS134" t="s">
        <v>3171</v>
      </c>
      <c r="BT134" t="str">
        <f>HYPERLINK("https%3A%2F%2Fwww.webofscience.com%2Fwos%2Fwoscc%2Ffull-record%2FWOS:000488653000017","View Full Record in Web of Science")</f>
        <v>View Full Record in Web of Science</v>
      </c>
      <c r="BW134" s="11" t="s">
        <v>365</v>
      </c>
      <c r="BX134" s="7" t="s">
        <v>3172</v>
      </c>
      <c r="BY134" s="7" t="s">
        <v>289</v>
      </c>
      <c r="CA134" s="7" t="s">
        <v>3173</v>
      </c>
      <c r="CB134" s="7" t="s">
        <v>1802</v>
      </c>
      <c r="CC134" s="7" t="s">
        <v>2084</v>
      </c>
      <c r="CD134" s="7" t="s">
        <v>622</v>
      </c>
      <c r="CE134" s="7" t="s">
        <v>554</v>
      </c>
      <c r="CF134" s="7" t="s">
        <v>3174</v>
      </c>
    </row>
    <row r="135" spans="1:85" ht="153">
      <c r="A135" t="s">
        <v>83</v>
      </c>
      <c r="B135" t="s">
        <v>3175</v>
      </c>
      <c r="C135" t="s">
        <v>85</v>
      </c>
      <c r="D135" t="s">
        <v>85</v>
      </c>
      <c r="E135" t="s">
        <v>85</v>
      </c>
      <c r="F135" t="s">
        <v>3176</v>
      </c>
      <c r="G135" t="s">
        <v>85</v>
      </c>
      <c r="H135" t="s">
        <v>85</v>
      </c>
      <c r="I135" s="5" t="s">
        <v>3177</v>
      </c>
      <c r="J135" t="s">
        <v>312</v>
      </c>
      <c r="K135" t="s">
        <v>85</v>
      </c>
      <c r="L135" t="s">
        <v>85</v>
      </c>
      <c r="M135" t="s">
        <v>89</v>
      </c>
      <c r="N135" t="s">
        <v>90</v>
      </c>
      <c r="O135" t="s">
        <v>85</v>
      </c>
      <c r="P135" t="s">
        <v>85</v>
      </c>
      <c r="Q135" t="s">
        <v>85</v>
      </c>
      <c r="R135" t="s">
        <v>85</v>
      </c>
      <c r="S135" t="s">
        <v>85</v>
      </c>
      <c r="T135" t="s">
        <v>3178</v>
      </c>
      <c r="U135" t="s">
        <v>3179</v>
      </c>
      <c r="V135" s="9" t="s">
        <v>3180</v>
      </c>
      <c r="W135" t="s">
        <v>3181</v>
      </c>
      <c r="X135" t="s">
        <v>3182</v>
      </c>
      <c r="Y135" t="s">
        <v>3183</v>
      </c>
      <c r="Z135" t="s">
        <v>3184</v>
      </c>
      <c r="AA135" t="s">
        <v>3185</v>
      </c>
      <c r="AB135" t="s">
        <v>3186</v>
      </c>
      <c r="AC135" t="s">
        <v>3187</v>
      </c>
      <c r="AD135" t="s">
        <v>3188</v>
      </c>
      <c r="AE135" t="s">
        <v>3189</v>
      </c>
      <c r="AF135" t="s">
        <v>85</v>
      </c>
      <c r="AG135">
        <v>94</v>
      </c>
      <c r="AH135">
        <v>136</v>
      </c>
      <c r="AI135">
        <v>141</v>
      </c>
      <c r="AJ135">
        <v>35</v>
      </c>
      <c r="AK135">
        <v>409</v>
      </c>
      <c r="AL135" t="s">
        <v>193</v>
      </c>
      <c r="AM135" t="s">
        <v>194</v>
      </c>
      <c r="AN135" t="s">
        <v>195</v>
      </c>
      <c r="AO135" t="s">
        <v>325</v>
      </c>
      <c r="AP135" t="s">
        <v>326</v>
      </c>
      <c r="AQ135" t="s">
        <v>85</v>
      </c>
      <c r="AR135" t="s">
        <v>327</v>
      </c>
      <c r="AS135" t="s">
        <v>328</v>
      </c>
      <c r="AT135" t="s">
        <v>200</v>
      </c>
      <c r="AU135" s="6">
        <v>2019</v>
      </c>
      <c r="AV135">
        <v>190</v>
      </c>
      <c r="AW135" t="s">
        <v>85</v>
      </c>
      <c r="AX135" t="s">
        <v>85</v>
      </c>
      <c r="AY135" t="s">
        <v>85</v>
      </c>
      <c r="AZ135" t="s">
        <v>85</v>
      </c>
      <c r="BA135" t="s">
        <v>85</v>
      </c>
      <c r="BB135" t="s">
        <v>85</v>
      </c>
      <c r="BC135" t="s">
        <v>85</v>
      </c>
      <c r="BD135">
        <v>103602</v>
      </c>
      <c r="BE135" t="s">
        <v>3190</v>
      </c>
      <c r="BF135" t="str">
        <f>HYPERLINK("http://dx.doi.org/10.1016/j.landurbplan.2019.103602","http://dx.doi.org/10.1016/j.landurbplan.2019.103602")</f>
        <v>http://dx.doi.org/10.1016/j.landurbplan.2019.103602</v>
      </c>
      <c r="BG135" t="s">
        <v>85</v>
      </c>
      <c r="BH135" t="s">
        <v>85</v>
      </c>
      <c r="BI135">
        <v>9</v>
      </c>
      <c r="BJ135" s="6" t="s">
        <v>331</v>
      </c>
      <c r="BK135" t="s">
        <v>171</v>
      </c>
      <c r="BL135" t="s">
        <v>332</v>
      </c>
      <c r="BM135" t="s">
        <v>3191</v>
      </c>
      <c r="BN135" t="s">
        <v>85</v>
      </c>
      <c r="BO135" t="s">
        <v>85</v>
      </c>
      <c r="BP135" t="s">
        <v>1552</v>
      </c>
      <c r="BQ135" t="s">
        <v>1553</v>
      </c>
      <c r="BR135" t="s">
        <v>116</v>
      </c>
      <c r="BS135" t="s">
        <v>3192</v>
      </c>
      <c r="BT135" t="str">
        <f>HYPERLINK("https%3A%2F%2Fwww.webofscience.com%2Fwos%2Fwoscc%2Ffull-record%2FWOS:000484871000016","View Full Record in Web of Science")</f>
        <v>View Full Record in Web of Science</v>
      </c>
      <c r="BW135" s="11" t="s">
        <v>365</v>
      </c>
      <c r="BX135" s="7" t="s">
        <v>3193</v>
      </c>
      <c r="BY135" s="7" t="s">
        <v>289</v>
      </c>
      <c r="CA135" s="7" t="s">
        <v>3194</v>
      </c>
      <c r="CB135" s="7" t="s">
        <v>1802</v>
      </c>
      <c r="CC135" s="7" t="s">
        <v>2084</v>
      </c>
      <c r="CD135" s="7" t="s">
        <v>622</v>
      </c>
      <c r="CE135" s="7" t="s">
        <v>554</v>
      </c>
      <c r="CF135" s="7" t="s">
        <v>154</v>
      </c>
    </row>
    <row r="136" spans="1:85" ht="285">
      <c r="A136" t="s">
        <v>83</v>
      </c>
      <c r="B136" t="s">
        <v>3195</v>
      </c>
      <c r="C136" t="s">
        <v>85</v>
      </c>
      <c r="D136" t="s">
        <v>85</v>
      </c>
      <c r="E136" t="s">
        <v>85</v>
      </c>
      <c r="F136" t="s">
        <v>3196</v>
      </c>
      <c r="G136" t="s">
        <v>85</v>
      </c>
      <c r="H136" t="s">
        <v>85</v>
      </c>
      <c r="I136" s="5" t="s">
        <v>3197</v>
      </c>
      <c r="J136" t="s">
        <v>874</v>
      </c>
      <c r="K136" t="s">
        <v>85</v>
      </c>
      <c r="L136" t="s">
        <v>85</v>
      </c>
      <c r="M136" t="s">
        <v>89</v>
      </c>
      <c r="N136" t="s">
        <v>90</v>
      </c>
      <c r="O136" t="s">
        <v>85</v>
      </c>
      <c r="P136" t="s">
        <v>85</v>
      </c>
      <c r="Q136" t="s">
        <v>85</v>
      </c>
      <c r="R136" t="s">
        <v>85</v>
      </c>
      <c r="S136" t="s">
        <v>85</v>
      </c>
      <c r="T136" t="s">
        <v>3198</v>
      </c>
      <c r="U136" t="s">
        <v>3199</v>
      </c>
      <c r="V136" s="5" t="s">
        <v>3200</v>
      </c>
      <c r="W136" t="s">
        <v>3201</v>
      </c>
      <c r="X136" t="s">
        <v>2240</v>
      </c>
      <c r="Y136" t="s">
        <v>3202</v>
      </c>
      <c r="Z136" t="s">
        <v>3203</v>
      </c>
      <c r="AA136" t="s">
        <v>3204</v>
      </c>
      <c r="AB136" t="s">
        <v>3205</v>
      </c>
      <c r="AC136" t="s">
        <v>3206</v>
      </c>
      <c r="AD136" t="s">
        <v>3207</v>
      </c>
      <c r="AE136" t="s">
        <v>3208</v>
      </c>
      <c r="AF136" t="s">
        <v>85</v>
      </c>
      <c r="AG136">
        <v>61</v>
      </c>
      <c r="AH136">
        <v>72</v>
      </c>
      <c r="AI136">
        <v>74</v>
      </c>
      <c r="AJ136">
        <v>30</v>
      </c>
      <c r="AK136">
        <v>180</v>
      </c>
      <c r="AL136" t="s">
        <v>137</v>
      </c>
      <c r="AM136" t="s">
        <v>138</v>
      </c>
      <c r="AN136" t="s">
        <v>139</v>
      </c>
      <c r="AO136" t="s">
        <v>3083</v>
      </c>
      <c r="AP136" t="s">
        <v>884</v>
      </c>
      <c r="AQ136" t="s">
        <v>85</v>
      </c>
      <c r="AR136" t="s">
        <v>885</v>
      </c>
      <c r="AS136" t="s">
        <v>886</v>
      </c>
      <c r="AT136" t="s">
        <v>2272</v>
      </c>
      <c r="AU136" s="6">
        <v>2019</v>
      </c>
      <c r="AV136">
        <v>16</v>
      </c>
      <c r="AW136">
        <v>17</v>
      </c>
      <c r="AX136" t="s">
        <v>85</v>
      </c>
      <c r="AY136" t="s">
        <v>85</v>
      </c>
      <c r="AZ136" t="s">
        <v>85</v>
      </c>
      <c r="BA136" t="s">
        <v>85</v>
      </c>
      <c r="BB136" t="s">
        <v>85</v>
      </c>
      <c r="BC136" t="s">
        <v>85</v>
      </c>
      <c r="BD136">
        <v>3102</v>
      </c>
      <c r="BE136" t="s">
        <v>3209</v>
      </c>
      <c r="BF136" t="str">
        <f>HYPERLINK("http://dx.doi.org/10.3390/ijerph16173102","http://dx.doi.org/10.3390/ijerph16173102")</f>
        <v>http://dx.doi.org/10.3390/ijerph16173102</v>
      </c>
      <c r="BG136" t="s">
        <v>85</v>
      </c>
      <c r="BH136" t="s">
        <v>85</v>
      </c>
      <c r="BI136">
        <v>14</v>
      </c>
      <c r="BJ136" s="6" t="s">
        <v>889</v>
      </c>
      <c r="BK136" t="s">
        <v>171</v>
      </c>
      <c r="BL136" t="s">
        <v>890</v>
      </c>
      <c r="BM136" t="s">
        <v>3210</v>
      </c>
      <c r="BN136">
        <v>31455015</v>
      </c>
      <c r="BO136" t="s">
        <v>3211</v>
      </c>
      <c r="BP136" t="s">
        <v>85</v>
      </c>
      <c r="BQ136" t="s">
        <v>85</v>
      </c>
      <c r="BR136" t="s">
        <v>116</v>
      </c>
      <c r="BS136" t="s">
        <v>3212</v>
      </c>
      <c r="BT136" t="str">
        <f>HYPERLINK("https%3A%2F%2Fwww.webofscience.com%2Fwos%2Fwoscc%2Ffull-record%2FWOS:000487037500097","View Full Record in Web of Science")</f>
        <v>View Full Record in Web of Science</v>
      </c>
      <c r="BW136" s="11" t="s">
        <v>149</v>
      </c>
      <c r="BX136" s="7" t="s">
        <v>3213</v>
      </c>
      <c r="BY136" s="7" t="s">
        <v>151</v>
      </c>
      <c r="CA136" s="7" t="s">
        <v>3214</v>
      </c>
      <c r="CB136" s="7" t="s">
        <v>1802</v>
      </c>
      <c r="CC136" s="7" t="s">
        <v>3215</v>
      </c>
      <c r="CD136" s="7" t="s">
        <v>2084</v>
      </c>
      <c r="CE136" s="7" t="s">
        <v>554</v>
      </c>
      <c r="CF136" s="7" t="s">
        <v>154</v>
      </c>
    </row>
    <row r="137" spans="1:85" ht="285">
      <c r="A137" t="s">
        <v>83</v>
      </c>
      <c r="B137" t="s">
        <v>3216</v>
      </c>
      <c r="C137" t="s">
        <v>85</v>
      </c>
      <c r="D137" t="s">
        <v>85</v>
      </c>
      <c r="E137" t="s">
        <v>85</v>
      </c>
      <c r="F137" t="s">
        <v>3217</v>
      </c>
      <c r="G137" t="s">
        <v>85</v>
      </c>
      <c r="H137" t="s">
        <v>85</v>
      </c>
      <c r="I137" s="5" t="s">
        <v>3218</v>
      </c>
      <c r="J137" t="s">
        <v>215</v>
      </c>
      <c r="K137" t="s">
        <v>85</v>
      </c>
      <c r="L137" t="s">
        <v>85</v>
      </c>
      <c r="M137" t="s">
        <v>89</v>
      </c>
      <c r="N137" t="s">
        <v>90</v>
      </c>
      <c r="O137" t="s">
        <v>85</v>
      </c>
      <c r="P137" t="s">
        <v>85</v>
      </c>
      <c r="Q137" t="s">
        <v>85</v>
      </c>
      <c r="R137" t="s">
        <v>85</v>
      </c>
      <c r="S137" t="s">
        <v>85</v>
      </c>
      <c r="T137" t="s">
        <v>3219</v>
      </c>
      <c r="U137" t="s">
        <v>3220</v>
      </c>
      <c r="V137" s="5" t="s">
        <v>3221</v>
      </c>
      <c r="W137" t="s">
        <v>3222</v>
      </c>
      <c r="X137" t="s">
        <v>3223</v>
      </c>
      <c r="Y137" t="s">
        <v>3224</v>
      </c>
      <c r="Z137" t="s">
        <v>3225</v>
      </c>
      <c r="AA137" t="s">
        <v>3226</v>
      </c>
      <c r="AB137" t="s">
        <v>3227</v>
      </c>
      <c r="AC137" t="s">
        <v>3228</v>
      </c>
      <c r="AD137" t="s">
        <v>3229</v>
      </c>
      <c r="AE137" t="s">
        <v>3230</v>
      </c>
      <c r="AF137" t="s">
        <v>85</v>
      </c>
      <c r="AG137">
        <v>110</v>
      </c>
      <c r="AH137">
        <v>19</v>
      </c>
      <c r="AI137">
        <v>19</v>
      </c>
      <c r="AJ137">
        <v>18</v>
      </c>
      <c r="AK137">
        <v>83</v>
      </c>
      <c r="AL137" t="s">
        <v>225</v>
      </c>
      <c r="AM137" t="s">
        <v>226</v>
      </c>
      <c r="AN137" t="s">
        <v>227</v>
      </c>
      <c r="AO137" t="s">
        <v>228</v>
      </c>
      <c r="AP137" t="s">
        <v>85</v>
      </c>
      <c r="AQ137" t="s">
        <v>85</v>
      </c>
      <c r="AR137" t="s">
        <v>229</v>
      </c>
      <c r="AS137" t="s">
        <v>230</v>
      </c>
      <c r="AT137" t="s">
        <v>3231</v>
      </c>
      <c r="AU137" s="6">
        <v>2019</v>
      </c>
      <c r="AV137">
        <v>10</v>
      </c>
      <c r="AW137" t="s">
        <v>85</v>
      </c>
      <c r="AX137" t="s">
        <v>85</v>
      </c>
      <c r="AY137" t="s">
        <v>85</v>
      </c>
      <c r="AZ137" t="s">
        <v>85</v>
      </c>
      <c r="BA137" t="s">
        <v>85</v>
      </c>
      <c r="BB137" t="s">
        <v>85</v>
      </c>
      <c r="BC137" t="s">
        <v>85</v>
      </c>
      <c r="BD137">
        <v>1840</v>
      </c>
      <c r="BE137" t="s">
        <v>3232</v>
      </c>
      <c r="BF137" t="str">
        <f>HYPERLINK("http://dx.doi.org/10.3389/fpsyg.2019.01840","http://dx.doi.org/10.3389/fpsyg.2019.01840")</f>
        <v>http://dx.doi.org/10.3389/fpsyg.2019.01840</v>
      </c>
      <c r="BG137" t="s">
        <v>85</v>
      </c>
      <c r="BH137" t="s">
        <v>85</v>
      </c>
      <c r="BI137">
        <v>16</v>
      </c>
      <c r="BJ137" s="6" t="s">
        <v>233</v>
      </c>
      <c r="BK137" t="s">
        <v>146</v>
      </c>
      <c r="BL137" t="s">
        <v>234</v>
      </c>
      <c r="BM137" t="s">
        <v>3233</v>
      </c>
      <c r="BN137">
        <v>31456718</v>
      </c>
      <c r="BO137" t="s">
        <v>1120</v>
      </c>
      <c r="BP137" t="s">
        <v>85</v>
      </c>
      <c r="BQ137" t="s">
        <v>85</v>
      </c>
      <c r="BR137" t="s">
        <v>116</v>
      </c>
      <c r="BS137" t="s">
        <v>3234</v>
      </c>
      <c r="BT137" t="str">
        <f>HYPERLINK("https%3A%2F%2Fwww.webofscience.com%2Fwos%2Fwoscc%2Ffull-record%2FWOS:000480577200002","View Full Record in Web of Science")</f>
        <v>View Full Record in Web of Science</v>
      </c>
      <c r="BW137" s="11" t="s">
        <v>149</v>
      </c>
      <c r="BX137" s="7" t="s">
        <v>3235</v>
      </c>
      <c r="BY137" s="7" t="s">
        <v>151</v>
      </c>
      <c r="CA137" s="7" t="s">
        <v>3236</v>
      </c>
      <c r="CB137" s="7" t="s">
        <v>1802</v>
      </c>
      <c r="CC137" s="7" t="s">
        <v>3215</v>
      </c>
      <c r="CD137" s="7" t="s">
        <v>2084</v>
      </c>
      <c r="CE137" s="7" t="s">
        <v>554</v>
      </c>
      <c r="CF137" s="7" t="s">
        <v>3237</v>
      </c>
    </row>
    <row r="138" spans="1:85" ht="127.5">
      <c r="A138" t="s">
        <v>83</v>
      </c>
      <c r="B138" t="s">
        <v>3238</v>
      </c>
      <c r="C138" t="s">
        <v>85</v>
      </c>
      <c r="D138" t="s">
        <v>85</v>
      </c>
      <c r="E138" t="s">
        <v>85</v>
      </c>
      <c r="F138" t="s">
        <v>3239</v>
      </c>
      <c r="G138" t="s">
        <v>85</v>
      </c>
      <c r="H138" t="s">
        <v>85</v>
      </c>
      <c r="I138" s="5" t="s">
        <v>3240</v>
      </c>
      <c r="J138" t="s">
        <v>3241</v>
      </c>
      <c r="K138" t="s">
        <v>85</v>
      </c>
      <c r="L138" t="s">
        <v>85</v>
      </c>
      <c r="M138" t="s">
        <v>89</v>
      </c>
      <c r="N138" t="s">
        <v>90</v>
      </c>
      <c r="O138" t="s">
        <v>85</v>
      </c>
      <c r="P138" t="s">
        <v>85</v>
      </c>
      <c r="Q138" t="s">
        <v>85</v>
      </c>
      <c r="R138" t="s">
        <v>85</v>
      </c>
      <c r="S138" t="s">
        <v>85</v>
      </c>
      <c r="T138" t="s">
        <v>85</v>
      </c>
      <c r="U138" t="s">
        <v>3242</v>
      </c>
      <c r="V138" s="9" t="s">
        <v>3243</v>
      </c>
      <c r="W138" t="s">
        <v>3244</v>
      </c>
      <c r="X138" t="s">
        <v>3245</v>
      </c>
      <c r="Y138" t="s">
        <v>3246</v>
      </c>
      <c r="Z138" t="s">
        <v>3247</v>
      </c>
      <c r="AA138" t="s">
        <v>3248</v>
      </c>
      <c r="AB138" t="s">
        <v>3249</v>
      </c>
      <c r="AC138" t="s">
        <v>85</v>
      </c>
      <c r="AD138" t="s">
        <v>85</v>
      </c>
      <c r="AE138" t="s">
        <v>85</v>
      </c>
      <c r="AF138" t="s">
        <v>85</v>
      </c>
      <c r="AG138">
        <v>49</v>
      </c>
      <c r="AH138">
        <v>9</v>
      </c>
      <c r="AI138">
        <v>9</v>
      </c>
      <c r="AJ138">
        <v>5</v>
      </c>
      <c r="AK138">
        <v>37</v>
      </c>
      <c r="AL138" t="s">
        <v>2914</v>
      </c>
      <c r="AM138" t="s">
        <v>2915</v>
      </c>
      <c r="AN138" t="s">
        <v>2916</v>
      </c>
      <c r="AO138" t="s">
        <v>3250</v>
      </c>
      <c r="AP138" t="s">
        <v>3251</v>
      </c>
      <c r="AQ138" t="s">
        <v>85</v>
      </c>
      <c r="AR138" t="s">
        <v>3252</v>
      </c>
      <c r="AS138" t="s">
        <v>3253</v>
      </c>
      <c r="AT138" t="s">
        <v>3254</v>
      </c>
      <c r="AU138" s="6">
        <v>2019</v>
      </c>
      <c r="AV138">
        <v>45</v>
      </c>
      <c r="AW138">
        <v>4</v>
      </c>
      <c r="AX138" t="s">
        <v>85</v>
      </c>
      <c r="AY138" t="s">
        <v>85</v>
      </c>
      <c r="AZ138" t="s">
        <v>85</v>
      </c>
      <c r="BA138" t="s">
        <v>85</v>
      </c>
      <c r="BB138">
        <v>372</v>
      </c>
      <c r="BC138">
        <v>385</v>
      </c>
      <c r="BD138" t="s">
        <v>85</v>
      </c>
      <c r="BE138" t="s">
        <v>3255</v>
      </c>
      <c r="BF138" t="str">
        <f>HYPERLINK("http://dx.doi.org/10.1080/0361073X.2019.1627497","http://dx.doi.org/10.1080/0361073X.2019.1627497")</f>
        <v>http://dx.doi.org/10.1080/0361073X.2019.1627497</v>
      </c>
      <c r="BG138" t="s">
        <v>85</v>
      </c>
      <c r="BH138" t="s">
        <v>85</v>
      </c>
      <c r="BI138">
        <v>14</v>
      </c>
      <c r="BJ138" s="6" t="s">
        <v>3256</v>
      </c>
      <c r="BK138" t="s">
        <v>171</v>
      </c>
      <c r="BL138" t="s">
        <v>3256</v>
      </c>
      <c r="BM138" t="s">
        <v>3257</v>
      </c>
      <c r="BN138">
        <v>31173559</v>
      </c>
      <c r="BO138" t="s">
        <v>85</v>
      </c>
      <c r="BP138" t="s">
        <v>85</v>
      </c>
      <c r="BQ138" t="s">
        <v>85</v>
      </c>
      <c r="BR138" t="s">
        <v>116</v>
      </c>
      <c r="BS138" t="s">
        <v>3258</v>
      </c>
      <c r="BT138" t="str">
        <f>HYPERLINK("https%3A%2F%2Fwww.webofscience.com%2Fwos%2Fwoscc%2Ffull-record%2FWOS:000474436800003","View Full Record in Web of Science")</f>
        <v>View Full Record in Web of Science</v>
      </c>
      <c r="BW138" s="11" t="s">
        <v>149</v>
      </c>
      <c r="BX138" s="7" t="s">
        <v>3259</v>
      </c>
      <c r="BY138" s="7" t="s">
        <v>3260</v>
      </c>
      <c r="CA138" s="7" t="s">
        <v>3261</v>
      </c>
      <c r="CB138" s="7" t="s">
        <v>1802</v>
      </c>
      <c r="CC138" s="7" t="s">
        <v>3215</v>
      </c>
      <c r="CD138" s="7" t="s">
        <v>622</v>
      </c>
      <c r="CE138" s="7" t="s">
        <v>554</v>
      </c>
      <c r="CF138" s="7" t="s">
        <v>3070</v>
      </c>
    </row>
    <row r="139" spans="1:85" ht="165">
      <c r="A139" t="s">
        <v>83</v>
      </c>
      <c r="B139" t="s">
        <v>3262</v>
      </c>
      <c r="C139" t="s">
        <v>85</v>
      </c>
      <c r="D139" t="s">
        <v>85</v>
      </c>
      <c r="E139" t="s">
        <v>85</v>
      </c>
      <c r="F139" t="s">
        <v>3263</v>
      </c>
      <c r="G139" t="s">
        <v>85</v>
      </c>
      <c r="H139" t="s">
        <v>85</v>
      </c>
      <c r="I139" s="5" t="s">
        <v>3264</v>
      </c>
      <c r="J139" t="s">
        <v>264</v>
      </c>
      <c r="K139" t="s">
        <v>85</v>
      </c>
      <c r="L139" t="s">
        <v>85</v>
      </c>
      <c r="M139" t="s">
        <v>89</v>
      </c>
      <c r="N139" t="s">
        <v>90</v>
      </c>
      <c r="O139" t="s">
        <v>85</v>
      </c>
      <c r="P139" t="s">
        <v>85</v>
      </c>
      <c r="Q139" t="s">
        <v>85</v>
      </c>
      <c r="R139" t="s">
        <v>85</v>
      </c>
      <c r="S139" t="s">
        <v>85</v>
      </c>
      <c r="T139" t="s">
        <v>3265</v>
      </c>
      <c r="U139" t="s">
        <v>3266</v>
      </c>
      <c r="V139" s="5" t="s">
        <v>3267</v>
      </c>
      <c r="W139" t="s">
        <v>3268</v>
      </c>
      <c r="X139" t="s">
        <v>3269</v>
      </c>
      <c r="Y139" t="s">
        <v>3270</v>
      </c>
      <c r="Z139" t="s">
        <v>3271</v>
      </c>
      <c r="AA139" t="s">
        <v>3272</v>
      </c>
      <c r="AB139" t="s">
        <v>3273</v>
      </c>
      <c r="AC139" t="s">
        <v>3274</v>
      </c>
      <c r="AD139" t="s">
        <v>3275</v>
      </c>
      <c r="AE139" t="s">
        <v>3276</v>
      </c>
      <c r="AF139" t="s">
        <v>85</v>
      </c>
      <c r="AG139">
        <v>85</v>
      </c>
      <c r="AH139">
        <v>27</v>
      </c>
      <c r="AI139">
        <v>28</v>
      </c>
      <c r="AJ139">
        <v>19</v>
      </c>
      <c r="AK139">
        <v>151</v>
      </c>
      <c r="AL139" t="s">
        <v>275</v>
      </c>
      <c r="AM139" t="s">
        <v>276</v>
      </c>
      <c r="AN139" t="s">
        <v>277</v>
      </c>
      <c r="AO139" t="s">
        <v>278</v>
      </c>
      <c r="AP139" t="s">
        <v>279</v>
      </c>
      <c r="AQ139" t="s">
        <v>85</v>
      </c>
      <c r="AR139" t="s">
        <v>280</v>
      </c>
      <c r="AS139" t="s">
        <v>281</v>
      </c>
      <c r="AT139" t="s">
        <v>143</v>
      </c>
      <c r="AU139" s="6">
        <v>2019</v>
      </c>
      <c r="AV139">
        <v>43</v>
      </c>
      <c r="AW139" t="s">
        <v>85</v>
      </c>
      <c r="AX139" t="s">
        <v>85</v>
      </c>
      <c r="AY139" t="s">
        <v>85</v>
      </c>
      <c r="AZ139" t="s">
        <v>85</v>
      </c>
      <c r="BA139" t="s">
        <v>85</v>
      </c>
      <c r="BB139" t="s">
        <v>85</v>
      </c>
      <c r="BC139" t="s">
        <v>85</v>
      </c>
      <c r="BD139">
        <v>126383</v>
      </c>
      <c r="BE139" t="s">
        <v>3277</v>
      </c>
      <c r="BF139" t="str">
        <f>HYPERLINK("http://dx.doi.org/10.1016/j.ufug.2019.126383","http://dx.doi.org/10.1016/j.ufug.2019.126383")</f>
        <v>http://dx.doi.org/10.1016/j.ufug.2019.126383</v>
      </c>
      <c r="BG139" t="s">
        <v>85</v>
      </c>
      <c r="BH139" t="s">
        <v>85</v>
      </c>
      <c r="BI139">
        <v>9</v>
      </c>
      <c r="BJ139" s="6" t="s">
        <v>284</v>
      </c>
      <c r="BK139" t="s">
        <v>171</v>
      </c>
      <c r="BL139" t="s">
        <v>285</v>
      </c>
      <c r="BM139" t="s">
        <v>3278</v>
      </c>
      <c r="BN139" t="s">
        <v>85</v>
      </c>
      <c r="BO139" t="s">
        <v>1797</v>
      </c>
      <c r="BP139" t="s">
        <v>85</v>
      </c>
      <c r="BQ139" t="s">
        <v>85</v>
      </c>
      <c r="BR139" t="s">
        <v>116</v>
      </c>
      <c r="BS139" t="s">
        <v>3279</v>
      </c>
      <c r="BT139" t="str">
        <f>HYPERLINK("https%3A%2F%2Fwww.webofscience.com%2Fwos%2Fwoscc%2Ffull-record%2FWOS:000484777600031","View Full Record in Web of Science")</f>
        <v>View Full Record in Web of Science</v>
      </c>
      <c r="BW139" s="11" t="s">
        <v>149</v>
      </c>
      <c r="BX139" s="7" t="s">
        <v>3280</v>
      </c>
      <c r="BY139" s="7" t="s">
        <v>151</v>
      </c>
      <c r="CA139" s="7" t="s">
        <v>3281</v>
      </c>
      <c r="CB139" s="7" t="s">
        <v>1802</v>
      </c>
      <c r="CC139" s="7" t="s">
        <v>2084</v>
      </c>
      <c r="CD139" s="7" t="s">
        <v>622</v>
      </c>
      <c r="CE139" s="7" t="s">
        <v>118</v>
      </c>
      <c r="CF139" s="7" t="s">
        <v>1965</v>
      </c>
      <c r="CG139" s="7" t="s">
        <v>3282</v>
      </c>
    </row>
    <row r="140" spans="1:85" ht="195">
      <c r="A140" t="s">
        <v>83</v>
      </c>
      <c r="B140" t="s">
        <v>3283</v>
      </c>
      <c r="C140" t="s">
        <v>85</v>
      </c>
      <c r="D140" t="s">
        <v>85</v>
      </c>
      <c r="E140" t="s">
        <v>85</v>
      </c>
      <c r="F140" t="s">
        <v>3284</v>
      </c>
      <c r="G140" t="s">
        <v>85</v>
      </c>
      <c r="H140" t="s">
        <v>85</v>
      </c>
      <c r="I140" s="5" t="s">
        <v>3285</v>
      </c>
      <c r="J140" t="s">
        <v>579</v>
      </c>
      <c r="K140" t="s">
        <v>85</v>
      </c>
      <c r="L140" t="s">
        <v>85</v>
      </c>
      <c r="M140" t="s">
        <v>89</v>
      </c>
      <c r="N140" t="s">
        <v>90</v>
      </c>
      <c r="O140" t="s">
        <v>85</v>
      </c>
      <c r="P140" t="s">
        <v>85</v>
      </c>
      <c r="Q140" t="s">
        <v>85</v>
      </c>
      <c r="R140" t="s">
        <v>85</v>
      </c>
      <c r="S140" t="s">
        <v>85</v>
      </c>
      <c r="T140" t="s">
        <v>3286</v>
      </c>
      <c r="U140" t="s">
        <v>3287</v>
      </c>
      <c r="V140" s="5" t="s">
        <v>3288</v>
      </c>
      <c r="W140" t="s">
        <v>3289</v>
      </c>
      <c r="X140" t="s">
        <v>3290</v>
      </c>
      <c r="Y140" t="s">
        <v>3291</v>
      </c>
      <c r="Z140" t="s">
        <v>3292</v>
      </c>
      <c r="AA140" t="s">
        <v>85</v>
      </c>
      <c r="AB140" t="s">
        <v>3293</v>
      </c>
      <c r="AC140" t="s">
        <v>85</v>
      </c>
      <c r="AD140" t="s">
        <v>85</v>
      </c>
      <c r="AE140" t="s">
        <v>85</v>
      </c>
      <c r="AF140" t="s">
        <v>85</v>
      </c>
      <c r="AG140">
        <v>59</v>
      </c>
      <c r="AH140">
        <v>7</v>
      </c>
      <c r="AI140">
        <v>7</v>
      </c>
      <c r="AJ140">
        <v>8</v>
      </c>
      <c r="AK140">
        <v>44</v>
      </c>
      <c r="AL140" t="s">
        <v>137</v>
      </c>
      <c r="AM140" t="s">
        <v>138</v>
      </c>
      <c r="AN140" t="s">
        <v>139</v>
      </c>
      <c r="AO140" t="s">
        <v>587</v>
      </c>
      <c r="AP140" t="s">
        <v>85</v>
      </c>
      <c r="AQ140" t="s">
        <v>85</v>
      </c>
      <c r="AR140" t="s">
        <v>579</v>
      </c>
      <c r="AS140" t="s">
        <v>588</v>
      </c>
      <c r="AT140" t="s">
        <v>1399</v>
      </c>
      <c r="AU140" s="6">
        <v>2019</v>
      </c>
      <c r="AV140">
        <v>10</v>
      </c>
      <c r="AW140">
        <v>5</v>
      </c>
      <c r="AX140" t="s">
        <v>85</v>
      </c>
      <c r="AY140" t="s">
        <v>85</v>
      </c>
      <c r="AZ140" t="s">
        <v>85</v>
      </c>
      <c r="BA140" t="s">
        <v>85</v>
      </c>
      <c r="BB140" t="s">
        <v>85</v>
      </c>
      <c r="BC140" t="s">
        <v>85</v>
      </c>
      <c r="BD140">
        <v>391</v>
      </c>
      <c r="BE140" t="s">
        <v>3294</v>
      </c>
      <c r="BF140" t="str">
        <f>HYPERLINK("http://dx.doi.org/10.3390/f10050391","http://dx.doi.org/10.3390/f10050391")</f>
        <v>http://dx.doi.org/10.3390/f10050391</v>
      </c>
      <c r="BG140" t="s">
        <v>85</v>
      </c>
      <c r="BH140" t="s">
        <v>85</v>
      </c>
      <c r="BI140">
        <v>17</v>
      </c>
      <c r="BJ140" s="6" t="s">
        <v>590</v>
      </c>
      <c r="BK140" t="s">
        <v>171</v>
      </c>
      <c r="BL140" t="s">
        <v>590</v>
      </c>
      <c r="BM140" t="s">
        <v>3295</v>
      </c>
      <c r="BN140" t="s">
        <v>85</v>
      </c>
      <c r="BO140" t="s">
        <v>115</v>
      </c>
      <c r="BP140" t="s">
        <v>85</v>
      </c>
      <c r="BQ140" t="s">
        <v>85</v>
      </c>
      <c r="BR140" t="s">
        <v>116</v>
      </c>
      <c r="BS140" t="s">
        <v>3296</v>
      </c>
      <c r="BT140" t="str">
        <f>HYPERLINK("https%3A%2F%2Fwww.webofscience.com%2Fwos%2Fwoscc%2Ffull-record%2FWOS:000478814700030","View Full Record in Web of Science")</f>
        <v>View Full Record in Web of Science</v>
      </c>
      <c r="BW140" s="11" t="s">
        <v>491</v>
      </c>
      <c r="BX140" s="7" t="s">
        <v>3297</v>
      </c>
      <c r="BY140" s="7" t="s">
        <v>289</v>
      </c>
      <c r="CA140" s="7" t="s">
        <v>1123</v>
      </c>
      <c r="CB140" s="7" t="s">
        <v>1802</v>
      </c>
      <c r="CC140" s="7" t="s">
        <v>2084</v>
      </c>
      <c r="CD140" s="7" t="s">
        <v>622</v>
      </c>
      <c r="CE140" s="7" t="s">
        <v>554</v>
      </c>
      <c r="CF140" s="7" t="s">
        <v>3298</v>
      </c>
    </row>
    <row r="141" spans="1:85" ht="75">
      <c r="A141" t="s">
        <v>83</v>
      </c>
      <c r="B141" t="s">
        <v>3299</v>
      </c>
      <c r="C141" t="s">
        <v>85</v>
      </c>
      <c r="D141" t="s">
        <v>85</v>
      </c>
      <c r="E141" t="s">
        <v>85</v>
      </c>
      <c r="F141" t="s">
        <v>3300</v>
      </c>
      <c r="G141" t="s">
        <v>85</v>
      </c>
      <c r="H141" t="s">
        <v>85</v>
      </c>
      <c r="I141" s="5" t="s">
        <v>3301</v>
      </c>
      <c r="J141" t="s">
        <v>1561</v>
      </c>
      <c r="K141" t="s">
        <v>85</v>
      </c>
      <c r="L141" t="s">
        <v>85</v>
      </c>
      <c r="M141" t="s">
        <v>89</v>
      </c>
      <c r="N141" t="s">
        <v>90</v>
      </c>
      <c r="O141" t="s">
        <v>85</v>
      </c>
      <c r="P141" t="s">
        <v>85</v>
      </c>
      <c r="Q141" t="s">
        <v>85</v>
      </c>
      <c r="R141" t="s">
        <v>85</v>
      </c>
      <c r="S141" t="s">
        <v>85</v>
      </c>
      <c r="T141" t="s">
        <v>3302</v>
      </c>
      <c r="U141" t="s">
        <v>3303</v>
      </c>
      <c r="V141" s="5" t="s">
        <v>3304</v>
      </c>
      <c r="W141" t="s">
        <v>3305</v>
      </c>
      <c r="X141" t="s">
        <v>3306</v>
      </c>
      <c r="Y141" t="s">
        <v>3307</v>
      </c>
      <c r="Z141" t="s">
        <v>3308</v>
      </c>
      <c r="AA141" t="s">
        <v>3309</v>
      </c>
      <c r="AB141" t="s">
        <v>3310</v>
      </c>
      <c r="AC141" t="s">
        <v>3311</v>
      </c>
      <c r="AD141" t="s">
        <v>3312</v>
      </c>
      <c r="AE141" t="s">
        <v>3313</v>
      </c>
      <c r="AF141" t="s">
        <v>85</v>
      </c>
      <c r="AG141">
        <v>81</v>
      </c>
      <c r="AH141">
        <v>50</v>
      </c>
      <c r="AI141">
        <v>51</v>
      </c>
      <c r="AJ141">
        <v>6</v>
      </c>
      <c r="AK141">
        <v>60</v>
      </c>
      <c r="AL141" t="s">
        <v>680</v>
      </c>
      <c r="AM141" t="s">
        <v>102</v>
      </c>
      <c r="AN141" t="s">
        <v>681</v>
      </c>
      <c r="AO141" t="s">
        <v>1571</v>
      </c>
      <c r="AP141" t="s">
        <v>1572</v>
      </c>
      <c r="AQ141" t="s">
        <v>85</v>
      </c>
      <c r="AR141" t="s">
        <v>1573</v>
      </c>
      <c r="AS141" t="s">
        <v>1574</v>
      </c>
      <c r="AT141" t="s">
        <v>1399</v>
      </c>
      <c r="AU141" s="6">
        <v>2019</v>
      </c>
      <c r="AV141">
        <v>57</v>
      </c>
      <c r="AW141" t="s">
        <v>85</v>
      </c>
      <c r="AX141" t="s">
        <v>85</v>
      </c>
      <c r="AY141" t="s">
        <v>85</v>
      </c>
      <c r="AZ141" t="s">
        <v>85</v>
      </c>
      <c r="BA141" t="s">
        <v>85</v>
      </c>
      <c r="BB141">
        <v>321</v>
      </c>
      <c r="BC141">
        <v>329</v>
      </c>
      <c r="BD141" t="s">
        <v>85</v>
      </c>
      <c r="BE141" t="s">
        <v>3314</v>
      </c>
      <c r="BF141" t="str">
        <f>HYPERLINK("http://dx.doi.org/10.1016/j.healthplace.2019.05.006","http://dx.doi.org/10.1016/j.healthplace.2019.05.006")</f>
        <v>http://dx.doi.org/10.1016/j.healthplace.2019.05.006</v>
      </c>
      <c r="BG141" t="s">
        <v>85</v>
      </c>
      <c r="BH141" t="s">
        <v>85</v>
      </c>
      <c r="BI141">
        <v>9</v>
      </c>
      <c r="BJ141" s="6" t="s">
        <v>616</v>
      </c>
      <c r="BK141" t="s">
        <v>171</v>
      </c>
      <c r="BL141" t="s">
        <v>616</v>
      </c>
      <c r="BM141" t="s">
        <v>3315</v>
      </c>
      <c r="BN141">
        <v>31151090</v>
      </c>
      <c r="BO141" t="s">
        <v>85</v>
      </c>
      <c r="BP141" t="s">
        <v>85</v>
      </c>
      <c r="BQ141" t="s">
        <v>85</v>
      </c>
      <c r="BR141" t="s">
        <v>116</v>
      </c>
      <c r="BS141" t="s">
        <v>3316</v>
      </c>
      <c r="BT141" t="str">
        <f>HYPERLINK("https%3A%2F%2Fwww.webofscience.com%2Fwos%2Fwoscc%2Ffull-record%2FWOS:000471889900035","View Full Record in Web of Science")</f>
        <v>View Full Record in Web of Science</v>
      </c>
      <c r="BW141" s="6" t="s">
        <v>491</v>
      </c>
      <c r="BX141" s="10" t="s">
        <v>3317</v>
      </c>
      <c r="BY141" s="10" t="s">
        <v>3318</v>
      </c>
      <c r="BZ141" t="s">
        <v>3319</v>
      </c>
      <c r="CA141" s="10" t="s">
        <v>3320</v>
      </c>
      <c r="CB141" s="10" t="s">
        <v>1802</v>
      </c>
      <c r="CC141" s="7" t="s">
        <v>2084</v>
      </c>
      <c r="CD141" s="7" t="s">
        <v>622</v>
      </c>
      <c r="CE141" s="7" t="s">
        <v>554</v>
      </c>
      <c r="CF141" s="7" t="s">
        <v>409</v>
      </c>
    </row>
    <row r="142" spans="1:85" ht="195">
      <c r="A142" t="s">
        <v>83</v>
      </c>
      <c r="B142" t="s">
        <v>3321</v>
      </c>
      <c r="C142" t="s">
        <v>85</v>
      </c>
      <c r="D142" t="s">
        <v>85</v>
      </c>
      <c r="E142" t="s">
        <v>85</v>
      </c>
      <c r="F142" t="s">
        <v>3322</v>
      </c>
      <c r="G142" t="s">
        <v>85</v>
      </c>
      <c r="H142" t="s">
        <v>85</v>
      </c>
      <c r="I142" s="5" t="s">
        <v>3323</v>
      </c>
      <c r="J142" t="s">
        <v>672</v>
      </c>
      <c r="K142" t="s">
        <v>85</v>
      </c>
      <c r="L142" t="s">
        <v>85</v>
      </c>
      <c r="M142" t="s">
        <v>89</v>
      </c>
      <c r="N142" t="s">
        <v>90</v>
      </c>
      <c r="O142" t="s">
        <v>85</v>
      </c>
      <c r="P142" t="s">
        <v>85</v>
      </c>
      <c r="Q142" t="s">
        <v>85</v>
      </c>
      <c r="R142" t="s">
        <v>85</v>
      </c>
      <c r="S142" t="s">
        <v>85</v>
      </c>
      <c r="T142" t="s">
        <v>3324</v>
      </c>
      <c r="U142" t="s">
        <v>3325</v>
      </c>
      <c r="V142" s="5" t="s">
        <v>3326</v>
      </c>
      <c r="W142" t="s">
        <v>3327</v>
      </c>
      <c r="X142" t="s">
        <v>3328</v>
      </c>
      <c r="Y142" t="s">
        <v>3329</v>
      </c>
      <c r="Z142" t="s">
        <v>3330</v>
      </c>
      <c r="AA142" t="s">
        <v>3331</v>
      </c>
      <c r="AB142" t="s">
        <v>3332</v>
      </c>
      <c r="AC142" t="s">
        <v>3333</v>
      </c>
      <c r="AD142" t="s">
        <v>3334</v>
      </c>
      <c r="AE142" t="s">
        <v>85</v>
      </c>
      <c r="AF142" t="s">
        <v>85</v>
      </c>
      <c r="AG142">
        <v>134</v>
      </c>
      <c r="AH142">
        <v>33</v>
      </c>
      <c r="AI142">
        <v>33</v>
      </c>
      <c r="AJ142">
        <v>14</v>
      </c>
      <c r="AK142">
        <v>100</v>
      </c>
      <c r="AL142" t="s">
        <v>680</v>
      </c>
      <c r="AM142" t="s">
        <v>102</v>
      </c>
      <c r="AN142" t="s">
        <v>681</v>
      </c>
      <c r="AO142" t="s">
        <v>682</v>
      </c>
      <c r="AP142" t="s">
        <v>683</v>
      </c>
      <c r="AQ142" t="s">
        <v>85</v>
      </c>
      <c r="AR142" t="s">
        <v>684</v>
      </c>
      <c r="AS142" t="s">
        <v>685</v>
      </c>
      <c r="AT142" t="s">
        <v>1399</v>
      </c>
      <c r="AU142" s="6">
        <v>2019</v>
      </c>
      <c r="AV142">
        <v>103</v>
      </c>
      <c r="AW142" t="s">
        <v>85</v>
      </c>
      <c r="AX142" t="s">
        <v>85</v>
      </c>
      <c r="AY142" t="s">
        <v>85</v>
      </c>
      <c r="AZ142" t="s">
        <v>85</v>
      </c>
      <c r="BA142" t="s">
        <v>85</v>
      </c>
      <c r="BB142">
        <v>160</v>
      </c>
      <c r="BC142">
        <v>171</v>
      </c>
      <c r="BD142" t="s">
        <v>85</v>
      </c>
      <c r="BE142" t="s">
        <v>3335</v>
      </c>
      <c r="BF142" t="str">
        <f>HYPERLINK("http://dx.doi.org/10.1016/j.marpol.2019.02.012","http://dx.doi.org/10.1016/j.marpol.2019.02.012")</f>
        <v>http://dx.doi.org/10.1016/j.marpol.2019.02.012</v>
      </c>
      <c r="BG142" t="s">
        <v>85</v>
      </c>
      <c r="BH142" t="s">
        <v>85</v>
      </c>
      <c r="BI142">
        <v>12</v>
      </c>
      <c r="BJ142" s="6" t="s">
        <v>688</v>
      </c>
      <c r="BK142" t="s">
        <v>146</v>
      </c>
      <c r="BL142" t="s">
        <v>689</v>
      </c>
      <c r="BM142" t="s">
        <v>3336</v>
      </c>
      <c r="BN142" t="s">
        <v>85</v>
      </c>
      <c r="BO142" t="s">
        <v>3337</v>
      </c>
      <c r="BP142" t="s">
        <v>85</v>
      </c>
      <c r="BQ142" t="s">
        <v>85</v>
      </c>
      <c r="BR142" t="s">
        <v>116</v>
      </c>
      <c r="BS142" t="s">
        <v>3338</v>
      </c>
      <c r="BT142" t="str">
        <f>HYPERLINK("https%3A%2F%2Fwww.webofscience.com%2Fwos%2Fwoscc%2Ffull-record%2FWOS:000463125700019","View Full Record in Web of Science")</f>
        <v>View Full Record in Web of Science</v>
      </c>
      <c r="BX142" s="10" t="s">
        <v>3339</v>
      </c>
      <c r="CA142" s="10" t="s">
        <v>3113</v>
      </c>
      <c r="CB142" s="10" t="s">
        <v>3340</v>
      </c>
    </row>
    <row r="143" spans="1:85" ht="210">
      <c r="A143" t="s">
        <v>83</v>
      </c>
      <c r="B143" t="s">
        <v>3341</v>
      </c>
      <c r="C143" t="s">
        <v>85</v>
      </c>
      <c r="D143" t="s">
        <v>85</v>
      </c>
      <c r="E143" t="s">
        <v>85</v>
      </c>
      <c r="F143" t="s">
        <v>3342</v>
      </c>
      <c r="G143" t="s">
        <v>85</v>
      </c>
      <c r="H143" t="s">
        <v>85</v>
      </c>
      <c r="I143" s="5" t="s">
        <v>3343</v>
      </c>
      <c r="J143" t="s">
        <v>3344</v>
      </c>
      <c r="K143" t="s">
        <v>85</v>
      </c>
      <c r="L143" t="s">
        <v>85</v>
      </c>
      <c r="M143" t="s">
        <v>89</v>
      </c>
      <c r="N143" t="s">
        <v>90</v>
      </c>
      <c r="O143" t="s">
        <v>85</v>
      </c>
      <c r="P143" t="s">
        <v>85</v>
      </c>
      <c r="Q143" t="s">
        <v>85</v>
      </c>
      <c r="R143" t="s">
        <v>85</v>
      </c>
      <c r="S143" t="s">
        <v>85</v>
      </c>
      <c r="T143" t="s">
        <v>3345</v>
      </c>
      <c r="U143" t="s">
        <v>3346</v>
      </c>
      <c r="V143" s="5" t="s">
        <v>3347</v>
      </c>
      <c r="W143" t="s">
        <v>3348</v>
      </c>
      <c r="X143" t="s">
        <v>3349</v>
      </c>
      <c r="Y143" t="s">
        <v>3350</v>
      </c>
      <c r="Z143" t="s">
        <v>3351</v>
      </c>
      <c r="AA143" t="s">
        <v>85</v>
      </c>
      <c r="AB143" t="s">
        <v>85</v>
      </c>
      <c r="AC143" t="s">
        <v>3352</v>
      </c>
      <c r="AD143" t="s">
        <v>3352</v>
      </c>
      <c r="AE143" t="s">
        <v>3353</v>
      </c>
      <c r="AF143" t="s">
        <v>85</v>
      </c>
      <c r="AG143">
        <v>79</v>
      </c>
      <c r="AH143">
        <v>4</v>
      </c>
      <c r="AI143">
        <v>4</v>
      </c>
      <c r="AJ143">
        <v>2</v>
      </c>
      <c r="AK143">
        <v>31</v>
      </c>
      <c r="AL143" t="s">
        <v>478</v>
      </c>
      <c r="AM143" t="s">
        <v>479</v>
      </c>
      <c r="AN143" t="s">
        <v>480</v>
      </c>
      <c r="AO143" t="s">
        <v>3354</v>
      </c>
      <c r="AP143" t="s">
        <v>3355</v>
      </c>
      <c r="AQ143" t="s">
        <v>85</v>
      </c>
      <c r="AR143" t="s">
        <v>3356</v>
      </c>
      <c r="AS143" t="s">
        <v>3357</v>
      </c>
      <c r="AT143" t="s">
        <v>513</v>
      </c>
      <c r="AU143" s="6">
        <v>2019</v>
      </c>
      <c r="AV143">
        <v>22</v>
      </c>
      <c r="AW143">
        <v>2</v>
      </c>
      <c r="AX143" t="s">
        <v>85</v>
      </c>
      <c r="AY143" t="s">
        <v>85</v>
      </c>
      <c r="AZ143" t="s">
        <v>85</v>
      </c>
      <c r="BA143" t="s">
        <v>85</v>
      </c>
      <c r="BB143">
        <v>235</v>
      </c>
      <c r="BC143">
        <v>247</v>
      </c>
      <c r="BD143" t="s">
        <v>85</v>
      </c>
      <c r="BE143" t="s">
        <v>3358</v>
      </c>
      <c r="BF143" t="str">
        <f>HYPERLINK("http://dx.doi.org/10.1007/s11252-018-0816-0","http://dx.doi.org/10.1007/s11252-018-0816-0")</f>
        <v>http://dx.doi.org/10.1007/s11252-018-0816-0</v>
      </c>
      <c r="BG143" t="s">
        <v>85</v>
      </c>
      <c r="BH143" t="s">
        <v>85</v>
      </c>
      <c r="BI143">
        <v>13</v>
      </c>
      <c r="BJ143" s="6" t="s">
        <v>3359</v>
      </c>
      <c r="BK143" t="s">
        <v>171</v>
      </c>
      <c r="BL143" t="s">
        <v>3360</v>
      </c>
      <c r="BM143" t="s">
        <v>3361</v>
      </c>
      <c r="BN143" t="s">
        <v>85</v>
      </c>
      <c r="BO143" t="s">
        <v>85</v>
      </c>
      <c r="BP143" t="s">
        <v>85</v>
      </c>
      <c r="BQ143" t="s">
        <v>85</v>
      </c>
      <c r="BR143" t="s">
        <v>116</v>
      </c>
      <c r="BS143" t="s">
        <v>3362</v>
      </c>
      <c r="BT143" t="str">
        <f>HYPERLINK("https%3A%2F%2Fwww.webofscience.com%2Fwos%2Fwoscc%2Ffull-record%2FWOS:000462225000003","View Full Record in Web of Science")</f>
        <v>View Full Record in Web of Science</v>
      </c>
      <c r="BW143" s="6" t="s">
        <v>149</v>
      </c>
      <c r="BX143" s="10" t="s">
        <v>3363</v>
      </c>
      <c r="BY143" s="10" t="s">
        <v>151</v>
      </c>
      <c r="CA143" s="10" t="s">
        <v>3364</v>
      </c>
      <c r="CB143" s="10" t="s">
        <v>1802</v>
      </c>
      <c r="CC143" s="7" t="s">
        <v>2084</v>
      </c>
      <c r="CD143" s="7" t="s">
        <v>622</v>
      </c>
      <c r="CE143" s="7" t="s">
        <v>2547</v>
      </c>
      <c r="CF143" s="7" t="s">
        <v>409</v>
      </c>
    </row>
    <row r="144" spans="1:85" ht="255">
      <c r="A144" t="s">
        <v>83</v>
      </c>
      <c r="B144" t="s">
        <v>3365</v>
      </c>
      <c r="C144" t="s">
        <v>85</v>
      </c>
      <c r="D144" t="s">
        <v>85</v>
      </c>
      <c r="E144" t="s">
        <v>85</v>
      </c>
      <c r="F144" t="s">
        <v>3366</v>
      </c>
      <c r="G144" t="s">
        <v>85</v>
      </c>
      <c r="H144" t="s">
        <v>85</v>
      </c>
      <c r="I144" s="5" t="s">
        <v>3367</v>
      </c>
      <c r="J144" t="s">
        <v>3368</v>
      </c>
      <c r="K144" t="s">
        <v>85</v>
      </c>
      <c r="L144" t="s">
        <v>85</v>
      </c>
      <c r="M144" t="s">
        <v>89</v>
      </c>
      <c r="N144" t="s">
        <v>90</v>
      </c>
      <c r="O144" t="s">
        <v>85</v>
      </c>
      <c r="P144" t="s">
        <v>85</v>
      </c>
      <c r="Q144" t="s">
        <v>85</v>
      </c>
      <c r="R144" t="s">
        <v>85</v>
      </c>
      <c r="S144" t="s">
        <v>85</v>
      </c>
      <c r="T144" t="s">
        <v>3369</v>
      </c>
      <c r="U144" t="s">
        <v>3370</v>
      </c>
      <c r="V144" s="5" t="s">
        <v>3371</v>
      </c>
      <c r="W144" t="s">
        <v>3372</v>
      </c>
      <c r="X144" t="s">
        <v>3373</v>
      </c>
      <c r="Y144" t="s">
        <v>3374</v>
      </c>
      <c r="Z144" t="s">
        <v>3375</v>
      </c>
      <c r="AA144" t="s">
        <v>3376</v>
      </c>
      <c r="AB144" t="s">
        <v>3377</v>
      </c>
      <c r="AC144" t="s">
        <v>85</v>
      </c>
      <c r="AD144" t="s">
        <v>85</v>
      </c>
      <c r="AE144" t="s">
        <v>85</v>
      </c>
      <c r="AF144" t="s">
        <v>85</v>
      </c>
      <c r="AG144">
        <v>81</v>
      </c>
      <c r="AH144">
        <v>15</v>
      </c>
      <c r="AI144">
        <v>16</v>
      </c>
      <c r="AJ144">
        <v>3</v>
      </c>
      <c r="AK144">
        <v>43</v>
      </c>
      <c r="AL144" t="s">
        <v>680</v>
      </c>
      <c r="AM144" t="s">
        <v>102</v>
      </c>
      <c r="AN144" t="s">
        <v>681</v>
      </c>
      <c r="AO144" t="s">
        <v>3378</v>
      </c>
      <c r="AP144" t="s">
        <v>3379</v>
      </c>
      <c r="AQ144" t="s">
        <v>85</v>
      </c>
      <c r="AR144" t="s">
        <v>3380</v>
      </c>
      <c r="AS144" t="s">
        <v>3381</v>
      </c>
      <c r="AT144" t="s">
        <v>714</v>
      </c>
      <c r="AU144" s="6">
        <v>2019</v>
      </c>
      <c r="AV144">
        <v>55</v>
      </c>
      <c r="AW144" t="s">
        <v>85</v>
      </c>
      <c r="AX144" t="s">
        <v>85</v>
      </c>
      <c r="AY144" t="s">
        <v>85</v>
      </c>
      <c r="AZ144" t="s">
        <v>85</v>
      </c>
      <c r="BA144" t="s">
        <v>85</v>
      </c>
      <c r="BB144">
        <v>48</v>
      </c>
      <c r="BC144">
        <v>57</v>
      </c>
      <c r="BD144" t="s">
        <v>85</v>
      </c>
      <c r="BE144" t="s">
        <v>3382</v>
      </c>
      <c r="BF144" t="str">
        <f>HYPERLINK("http://dx.doi.org/10.1016/j.gloenvcha.2019.02.002","http://dx.doi.org/10.1016/j.gloenvcha.2019.02.002")</f>
        <v>http://dx.doi.org/10.1016/j.gloenvcha.2019.02.002</v>
      </c>
      <c r="BG144" t="s">
        <v>85</v>
      </c>
      <c r="BH144" t="s">
        <v>85</v>
      </c>
      <c r="BI144">
        <v>10</v>
      </c>
      <c r="BJ144" s="6" t="s">
        <v>3383</v>
      </c>
      <c r="BK144" t="s">
        <v>171</v>
      </c>
      <c r="BL144" t="s">
        <v>3384</v>
      </c>
      <c r="BM144" t="s">
        <v>3385</v>
      </c>
      <c r="BN144" t="s">
        <v>85</v>
      </c>
      <c r="BO144" t="s">
        <v>549</v>
      </c>
      <c r="BP144" t="s">
        <v>85</v>
      </c>
      <c r="BQ144" t="s">
        <v>85</v>
      </c>
      <c r="BR144" t="s">
        <v>116</v>
      </c>
      <c r="BS144" t="s">
        <v>3386</v>
      </c>
      <c r="BT144" t="str">
        <f>HYPERLINK("https%3A%2F%2Fwww.webofscience.com%2Fwos%2Fwoscc%2Ffull-record%2FWOS:000463982000005","View Full Record in Web of Science")</f>
        <v>View Full Record in Web of Science</v>
      </c>
    </row>
    <row r="145" spans="1:85" ht="180">
      <c r="A145" t="s">
        <v>83</v>
      </c>
      <c r="B145" t="s">
        <v>3387</v>
      </c>
      <c r="C145" t="s">
        <v>85</v>
      </c>
      <c r="D145" t="s">
        <v>85</v>
      </c>
      <c r="E145" t="s">
        <v>85</v>
      </c>
      <c r="F145" t="s">
        <v>3388</v>
      </c>
      <c r="G145" t="s">
        <v>85</v>
      </c>
      <c r="H145" t="s">
        <v>85</v>
      </c>
      <c r="I145" s="5" t="s">
        <v>3389</v>
      </c>
      <c r="J145" t="s">
        <v>3390</v>
      </c>
      <c r="K145" t="s">
        <v>85</v>
      </c>
      <c r="L145" t="s">
        <v>85</v>
      </c>
      <c r="M145" t="s">
        <v>89</v>
      </c>
      <c r="N145" t="s">
        <v>90</v>
      </c>
      <c r="O145" t="s">
        <v>85</v>
      </c>
      <c r="P145" t="s">
        <v>85</v>
      </c>
      <c r="Q145" t="s">
        <v>85</v>
      </c>
      <c r="R145" t="s">
        <v>85</v>
      </c>
      <c r="S145" t="s">
        <v>85</v>
      </c>
      <c r="T145" t="s">
        <v>3391</v>
      </c>
      <c r="U145" t="s">
        <v>3392</v>
      </c>
      <c r="V145" s="5" t="s">
        <v>3393</v>
      </c>
      <c r="W145" t="s">
        <v>3394</v>
      </c>
      <c r="X145" t="s">
        <v>3395</v>
      </c>
      <c r="Y145" t="s">
        <v>3396</v>
      </c>
      <c r="Z145" t="s">
        <v>3397</v>
      </c>
      <c r="AA145" t="s">
        <v>3398</v>
      </c>
      <c r="AB145" t="s">
        <v>3399</v>
      </c>
      <c r="AC145" t="s">
        <v>3400</v>
      </c>
      <c r="AD145" t="s">
        <v>3401</v>
      </c>
      <c r="AE145" t="s">
        <v>3402</v>
      </c>
      <c r="AF145" t="s">
        <v>85</v>
      </c>
      <c r="AG145">
        <v>112</v>
      </c>
      <c r="AH145">
        <v>20</v>
      </c>
      <c r="AI145">
        <v>20</v>
      </c>
      <c r="AJ145">
        <v>5</v>
      </c>
      <c r="AK145">
        <v>55</v>
      </c>
      <c r="AL145" t="s">
        <v>352</v>
      </c>
      <c r="AM145" t="s">
        <v>353</v>
      </c>
      <c r="AN145" t="s">
        <v>354</v>
      </c>
      <c r="AO145" t="s">
        <v>3403</v>
      </c>
      <c r="AP145" t="s">
        <v>85</v>
      </c>
      <c r="AQ145" t="s">
        <v>85</v>
      </c>
      <c r="AR145" t="s">
        <v>3404</v>
      </c>
      <c r="AS145" t="s">
        <v>3405</v>
      </c>
      <c r="AT145" t="s">
        <v>3406</v>
      </c>
      <c r="AU145" s="6">
        <v>2019</v>
      </c>
      <c r="AV145">
        <v>6</v>
      </c>
      <c r="AW145">
        <v>2</v>
      </c>
      <c r="AX145" t="s">
        <v>85</v>
      </c>
      <c r="AY145" t="s">
        <v>85</v>
      </c>
      <c r="AZ145" t="s">
        <v>85</v>
      </c>
      <c r="BA145" t="s">
        <v>85</v>
      </c>
      <c r="BB145" t="s">
        <v>85</v>
      </c>
      <c r="BC145" t="s">
        <v>85</v>
      </c>
      <c r="BD145" t="s">
        <v>3407</v>
      </c>
      <c r="BE145" t="s">
        <v>3408</v>
      </c>
      <c r="BF145" t="str">
        <f>HYPERLINK("http://dx.doi.org/10.1002/wat2.1339","http://dx.doi.org/10.1002/wat2.1339")</f>
        <v>http://dx.doi.org/10.1002/wat2.1339</v>
      </c>
      <c r="BG145" t="s">
        <v>85</v>
      </c>
      <c r="BH145" t="s">
        <v>85</v>
      </c>
      <c r="BI145">
        <v>13</v>
      </c>
      <c r="BJ145" s="6" t="s">
        <v>3409</v>
      </c>
      <c r="BK145" t="s">
        <v>171</v>
      </c>
      <c r="BL145" t="s">
        <v>3410</v>
      </c>
      <c r="BM145" t="s">
        <v>3411</v>
      </c>
      <c r="BN145" t="s">
        <v>85</v>
      </c>
      <c r="BO145" t="s">
        <v>206</v>
      </c>
      <c r="BP145" t="s">
        <v>85</v>
      </c>
      <c r="BQ145" t="s">
        <v>85</v>
      </c>
      <c r="BR145" t="s">
        <v>116</v>
      </c>
      <c r="BS145" t="s">
        <v>3412</v>
      </c>
      <c r="BT145" t="str">
        <f>HYPERLINK("https%3A%2F%2Fwww.webofscience.com%2Fwos%2Fwoscc%2Ffull-record%2FWOS:000458947400006","View Full Record in Web of Science")</f>
        <v>View Full Record in Web of Science</v>
      </c>
      <c r="BX145" s="10" t="s">
        <v>3413</v>
      </c>
      <c r="CB145" s="10" t="s">
        <v>3414</v>
      </c>
      <c r="CD145" s="7" t="s">
        <v>3415</v>
      </c>
      <c r="CF145" s="7" t="s">
        <v>3416</v>
      </c>
    </row>
    <row r="146" spans="1:85" ht="105">
      <c r="A146" t="s">
        <v>83</v>
      </c>
      <c r="B146" t="s">
        <v>3417</v>
      </c>
      <c r="C146" t="s">
        <v>85</v>
      </c>
      <c r="D146" t="s">
        <v>85</v>
      </c>
      <c r="E146" t="s">
        <v>85</v>
      </c>
      <c r="F146" t="s">
        <v>3418</v>
      </c>
      <c r="G146" t="s">
        <v>85</v>
      </c>
      <c r="H146" t="s">
        <v>85</v>
      </c>
      <c r="I146" s="5" t="s">
        <v>3419</v>
      </c>
      <c r="J146" t="s">
        <v>1561</v>
      </c>
      <c r="K146" t="s">
        <v>85</v>
      </c>
      <c r="L146" t="s">
        <v>85</v>
      </c>
      <c r="M146" t="s">
        <v>89</v>
      </c>
      <c r="N146" t="s">
        <v>90</v>
      </c>
      <c r="O146" t="s">
        <v>85</v>
      </c>
      <c r="P146" t="s">
        <v>85</v>
      </c>
      <c r="Q146" t="s">
        <v>85</v>
      </c>
      <c r="R146" t="s">
        <v>85</v>
      </c>
      <c r="S146" t="s">
        <v>85</v>
      </c>
      <c r="T146" t="s">
        <v>3420</v>
      </c>
      <c r="U146" t="s">
        <v>3421</v>
      </c>
      <c r="V146" s="5" t="s">
        <v>3422</v>
      </c>
      <c r="W146" t="s">
        <v>3423</v>
      </c>
      <c r="X146" t="s">
        <v>3424</v>
      </c>
      <c r="Y146" t="s">
        <v>3425</v>
      </c>
      <c r="Z146" t="s">
        <v>3426</v>
      </c>
      <c r="AA146" t="s">
        <v>3427</v>
      </c>
      <c r="AB146" t="s">
        <v>3428</v>
      </c>
      <c r="AC146" t="s">
        <v>3429</v>
      </c>
      <c r="AD146" t="s">
        <v>3429</v>
      </c>
      <c r="AE146" t="s">
        <v>3430</v>
      </c>
      <c r="AF146" t="s">
        <v>85</v>
      </c>
      <c r="AG146">
        <v>120</v>
      </c>
      <c r="AH146">
        <v>101</v>
      </c>
      <c r="AI146">
        <v>105</v>
      </c>
      <c r="AJ146">
        <v>32</v>
      </c>
      <c r="AK146">
        <v>180</v>
      </c>
      <c r="AL146" t="s">
        <v>680</v>
      </c>
      <c r="AM146" t="s">
        <v>102</v>
      </c>
      <c r="AN146" t="s">
        <v>681</v>
      </c>
      <c r="AO146" t="s">
        <v>1571</v>
      </c>
      <c r="AP146" t="s">
        <v>1572</v>
      </c>
      <c r="AQ146" t="s">
        <v>85</v>
      </c>
      <c r="AR146" t="s">
        <v>1573</v>
      </c>
      <c r="AS146" t="s">
        <v>1574</v>
      </c>
      <c r="AT146" t="s">
        <v>544</v>
      </c>
      <c r="AU146" s="6">
        <v>2019</v>
      </c>
      <c r="AV146">
        <v>55</v>
      </c>
      <c r="AW146" t="s">
        <v>85</v>
      </c>
      <c r="AX146" t="s">
        <v>85</v>
      </c>
      <c r="AY146" t="s">
        <v>85</v>
      </c>
      <c r="AZ146" t="s">
        <v>85</v>
      </c>
      <c r="BA146" t="s">
        <v>85</v>
      </c>
      <c r="BB146">
        <v>100</v>
      </c>
      <c r="BC146">
        <v>110</v>
      </c>
      <c r="BD146" t="s">
        <v>85</v>
      </c>
      <c r="BE146" t="s">
        <v>3431</v>
      </c>
      <c r="BF146" t="str">
        <f>HYPERLINK("http://dx.doi.org/10.1016/j.healthplace.2018.11.003","http://dx.doi.org/10.1016/j.healthplace.2018.11.003")</f>
        <v>http://dx.doi.org/10.1016/j.healthplace.2018.11.003</v>
      </c>
      <c r="BG146" t="s">
        <v>85</v>
      </c>
      <c r="BH146" t="s">
        <v>85</v>
      </c>
      <c r="BI146">
        <v>11</v>
      </c>
      <c r="BJ146" s="6" t="s">
        <v>616</v>
      </c>
      <c r="BK146" t="s">
        <v>171</v>
      </c>
      <c r="BL146" t="s">
        <v>616</v>
      </c>
      <c r="BM146" t="s">
        <v>3432</v>
      </c>
      <c r="BN146">
        <v>30551994</v>
      </c>
      <c r="BO146" t="s">
        <v>85</v>
      </c>
      <c r="BP146" t="s">
        <v>1552</v>
      </c>
      <c r="BQ146" t="s">
        <v>1553</v>
      </c>
      <c r="BR146" t="s">
        <v>116</v>
      </c>
      <c r="BS146" t="s">
        <v>3433</v>
      </c>
      <c r="BT146" t="str">
        <f>HYPERLINK("https%3A%2F%2Fwww.webofscience.com%2Fwos%2Fwoscc%2Ffull-record%2FWOS:000456089600012","View Full Record in Web of Science")</f>
        <v>View Full Record in Web of Science</v>
      </c>
      <c r="BW146" s="6" t="s">
        <v>365</v>
      </c>
      <c r="BX146" s="10" t="s">
        <v>3434</v>
      </c>
      <c r="CA146" s="10" t="s">
        <v>3435</v>
      </c>
      <c r="CB146" s="10" t="s">
        <v>1802</v>
      </c>
      <c r="CC146" s="10" t="s">
        <v>2084</v>
      </c>
      <c r="CD146" s="10" t="s">
        <v>622</v>
      </c>
      <c r="CE146" t="s">
        <v>554</v>
      </c>
      <c r="CF146" t="s">
        <v>3436</v>
      </c>
    </row>
    <row r="147" spans="1:85" ht="195">
      <c r="A147" t="s">
        <v>83</v>
      </c>
      <c r="B147" t="s">
        <v>3437</v>
      </c>
      <c r="C147" t="s">
        <v>85</v>
      </c>
      <c r="D147" t="s">
        <v>85</v>
      </c>
      <c r="E147" t="s">
        <v>85</v>
      </c>
      <c r="F147" t="s">
        <v>3438</v>
      </c>
      <c r="G147" t="s">
        <v>85</v>
      </c>
      <c r="H147" t="s">
        <v>85</v>
      </c>
      <c r="I147" s="5" t="s">
        <v>3439</v>
      </c>
      <c r="J147" t="s">
        <v>312</v>
      </c>
      <c r="K147" t="s">
        <v>85</v>
      </c>
      <c r="L147" t="s">
        <v>85</v>
      </c>
      <c r="M147" t="s">
        <v>89</v>
      </c>
      <c r="N147" t="s">
        <v>90</v>
      </c>
      <c r="O147" t="s">
        <v>85</v>
      </c>
      <c r="P147" t="s">
        <v>85</v>
      </c>
      <c r="Q147" t="s">
        <v>85</v>
      </c>
      <c r="R147" t="s">
        <v>85</v>
      </c>
      <c r="S147" t="s">
        <v>85</v>
      </c>
      <c r="T147" t="s">
        <v>3440</v>
      </c>
      <c r="U147" t="s">
        <v>3441</v>
      </c>
      <c r="V147" s="5" t="s">
        <v>3442</v>
      </c>
      <c r="W147" t="s">
        <v>3443</v>
      </c>
      <c r="X147" t="s">
        <v>3444</v>
      </c>
      <c r="Y147" t="s">
        <v>3445</v>
      </c>
      <c r="Z147" t="s">
        <v>3446</v>
      </c>
      <c r="AA147" t="s">
        <v>3447</v>
      </c>
      <c r="AB147" t="s">
        <v>3448</v>
      </c>
      <c r="AC147" t="s">
        <v>3449</v>
      </c>
      <c r="AD147" t="s">
        <v>3449</v>
      </c>
      <c r="AE147" t="s">
        <v>3450</v>
      </c>
      <c r="AF147" t="s">
        <v>85</v>
      </c>
      <c r="AG147">
        <v>72</v>
      </c>
      <c r="AH147">
        <v>11</v>
      </c>
      <c r="AI147">
        <v>12</v>
      </c>
      <c r="AJ147">
        <v>2</v>
      </c>
      <c r="AK147">
        <v>61</v>
      </c>
      <c r="AL147" t="s">
        <v>193</v>
      </c>
      <c r="AM147" t="s">
        <v>194</v>
      </c>
      <c r="AN147" t="s">
        <v>195</v>
      </c>
      <c r="AO147" t="s">
        <v>325</v>
      </c>
      <c r="AP147" t="s">
        <v>326</v>
      </c>
      <c r="AQ147" t="s">
        <v>85</v>
      </c>
      <c r="AR147" t="s">
        <v>327</v>
      </c>
      <c r="AS147" t="s">
        <v>328</v>
      </c>
      <c r="AT147" t="s">
        <v>761</v>
      </c>
      <c r="AU147" s="6">
        <v>2018</v>
      </c>
      <c r="AV147">
        <v>180</v>
      </c>
      <c r="AW147" t="s">
        <v>85</v>
      </c>
      <c r="AX147" t="s">
        <v>85</v>
      </c>
      <c r="AY147" t="s">
        <v>85</v>
      </c>
      <c r="AZ147" t="s">
        <v>85</v>
      </c>
      <c r="BA147" t="s">
        <v>85</v>
      </c>
      <c r="BB147">
        <v>93</v>
      </c>
      <c r="BC147">
        <v>102</v>
      </c>
      <c r="BD147" t="s">
        <v>85</v>
      </c>
      <c r="BE147" t="s">
        <v>3451</v>
      </c>
      <c r="BF147" t="str">
        <f>HYPERLINK("http://dx.doi.org/10.1016/j.landurbplan.2018.08.013","http://dx.doi.org/10.1016/j.landurbplan.2018.08.013")</f>
        <v>http://dx.doi.org/10.1016/j.landurbplan.2018.08.013</v>
      </c>
      <c r="BG147" t="s">
        <v>85</v>
      </c>
      <c r="BH147" t="s">
        <v>85</v>
      </c>
      <c r="BI147">
        <v>10</v>
      </c>
      <c r="BJ147" s="6" t="s">
        <v>331</v>
      </c>
      <c r="BK147" t="s">
        <v>171</v>
      </c>
      <c r="BL147" t="s">
        <v>332</v>
      </c>
      <c r="BM147" t="s">
        <v>3452</v>
      </c>
      <c r="BN147" t="s">
        <v>85</v>
      </c>
      <c r="BO147" t="s">
        <v>549</v>
      </c>
      <c r="BP147" t="s">
        <v>85</v>
      </c>
      <c r="BQ147" t="s">
        <v>85</v>
      </c>
      <c r="BR147" t="s">
        <v>116</v>
      </c>
      <c r="BS147" t="s">
        <v>3453</v>
      </c>
      <c r="BT147" t="str">
        <f>HYPERLINK("https%3A%2F%2Fwww.webofscience.com%2Fwos%2Fwoscc%2Ffull-record%2FWOS:000449896300010","View Full Record in Web of Science")</f>
        <v>View Full Record in Web of Science</v>
      </c>
      <c r="BW147" s="6" t="s">
        <v>149</v>
      </c>
      <c r="BX147" s="10" t="s">
        <v>3454</v>
      </c>
      <c r="BY147" s="10" t="s">
        <v>151</v>
      </c>
      <c r="CA147" s="10" t="s">
        <v>3113</v>
      </c>
      <c r="CB147" s="10" t="s">
        <v>1802</v>
      </c>
      <c r="CC147" s="10" t="s">
        <v>2084</v>
      </c>
      <c r="CD147" s="10" t="s">
        <v>1861</v>
      </c>
      <c r="CE147" s="10" t="s">
        <v>554</v>
      </c>
      <c r="CF147" s="7" t="s">
        <v>1425</v>
      </c>
    </row>
    <row r="148" spans="1:85" ht="195">
      <c r="A148" t="s">
        <v>83</v>
      </c>
      <c r="B148" t="s">
        <v>3455</v>
      </c>
      <c r="C148" t="s">
        <v>85</v>
      </c>
      <c r="D148" t="s">
        <v>85</v>
      </c>
      <c r="E148" t="s">
        <v>85</v>
      </c>
      <c r="F148" t="s">
        <v>3456</v>
      </c>
      <c r="G148" t="s">
        <v>85</v>
      </c>
      <c r="H148" t="s">
        <v>85</v>
      </c>
      <c r="I148" s="5" t="s">
        <v>3457</v>
      </c>
      <c r="J148" t="s">
        <v>158</v>
      </c>
      <c r="K148" t="s">
        <v>85</v>
      </c>
      <c r="L148" t="s">
        <v>85</v>
      </c>
      <c r="M148" t="s">
        <v>89</v>
      </c>
      <c r="N148" t="s">
        <v>90</v>
      </c>
      <c r="O148" t="s">
        <v>85</v>
      </c>
      <c r="P148" t="s">
        <v>85</v>
      </c>
      <c r="Q148" t="s">
        <v>85</v>
      </c>
      <c r="R148" t="s">
        <v>85</v>
      </c>
      <c r="S148" t="s">
        <v>85</v>
      </c>
      <c r="T148" t="s">
        <v>3458</v>
      </c>
      <c r="U148" t="s">
        <v>3459</v>
      </c>
      <c r="V148" s="5" t="s">
        <v>3460</v>
      </c>
      <c r="W148" t="s">
        <v>3461</v>
      </c>
      <c r="X148" t="s">
        <v>3462</v>
      </c>
      <c r="Y148" t="s">
        <v>3463</v>
      </c>
      <c r="Z148" t="s">
        <v>3464</v>
      </c>
      <c r="AA148" t="s">
        <v>3465</v>
      </c>
      <c r="AB148" t="s">
        <v>3466</v>
      </c>
      <c r="AC148" t="s">
        <v>85</v>
      </c>
      <c r="AD148" t="s">
        <v>85</v>
      </c>
      <c r="AE148" t="s">
        <v>85</v>
      </c>
      <c r="AF148" t="s">
        <v>85</v>
      </c>
      <c r="AG148">
        <v>80</v>
      </c>
      <c r="AH148">
        <v>35</v>
      </c>
      <c r="AI148">
        <v>35</v>
      </c>
      <c r="AJ148">
        <v>7</v>
      </c>
      <c r="AK148">
        <v>75</v>
      </c>
      <c r="AL148" t="s">
        <v>137</v>
      </c>
      <c r="AM148" t="s">
        <v>138</v>
      </c>
      <c r="AN148" t="s">
        <v>139</v>
      </c>
      <c r="AO148" t="s">
        <v>85</v>
      </c>
      <c r="AP148" t="s">
        <v>166</v>
      </c>
      <c r="AQ148" t="s">
        <v>85</v>
      </c>
      <c r="AR148" t="s">
        <v>167</v>
      </c>
      <c r="AS148" t="s">
        <v>168</v>
      </c>
      <c r="AT148" t="s">
        <v>887</v>
      </c>
      <c r="AU148" s="6">
        <v>2018</v>
      </c>
      <c r="AV148">
        <v>10</v>
      </c>
      <c r="AW148">
        <v>11</v>
      </c>
      <c r="AX148" t="s">
        <v>85</v>
      </c>
      <c r="AY148" t="s">
        <v>85</v>
      </c>
      <c r="AZ148" t="s">
        <v>85</v>
      </c>
      <c r="BA148" t="s">
        <v>85</v>
      </c>
      <c r="BB148" t="s">
        <v>85</v>
      </c>
      <c r="BC148" t="s">
        <v>85</v>
      </c>
      <c r="BD148">
        <v>4010</v>
      </c>
      <c r="BE148" t="s">
        <v>3467</v>
      </c>
      <c r="BF148" t="str">
        <f>HYPERLINK("http://dx.doi.org/10.3390/su10114010","http://dx.doi.org/10.3390/su10114010")</f>
        <v>http://dx.doi.org/10.3390/su10114010</v>
      </c>
      <c r="BG148" t="s">
        <v>85</v>
      </c>
      <c r="BH148" t="s">
        <v>85</v>
      </c>
      <c r="BI148">
        <v>20</v>
      </c>
      <c r="BJ148" s="6" t="s">
        <v>170</v>
      </c>
      <c r="BK148" t="s">
        <v>171</v>
      </c>
      <c r="BL148" t="s">
        <v>172</v>
      </c>
      <c r="BM148" t="s">
        <v>3468</v>
      </c>
      <c r="BN148" t="s">
        <v>85</v>
      </c>
      <c r="BO148" t="s">
        <v>236</v>
      </c>
      <c r="BP148" t="s">
        <v>85</v>
      </c>
      <c r="BQ148" t="s">
        <v>85</v>
      </c>
      <c r="BR148" t="s">
        <v>116</v>
      </c>
      <c r="BS148" t="s">
        <v>3469</v>
      </c>
      <c r="BT148" t="str">
        <f>HYPERLINK("https%3A%2F%2Fwww.webofscience.com%2Fwos%2Fwoscc%2Ffull-record%2FWOS:000451531700184","View Full Record in Web of Science")</f>
        <v>View Full Record in Web of Science</v>
      </c>
      <c r="BW148" s="6" t="s">
        <v>149</v>
      </c>
      <c r="BX148" s="10" t="s">
        <v>151</v>
      </c>
      <c r="CA148" s="10" t="s">
        <v>3470</v>
      </c>
      <c r="CB148" s="10" t="s">
        <v>1802</v>
      </c>
      <c r="CC148" s="10" t="s">
        <v>2084</v>
      </c>
      <c r="CD148" s="10" t="s">
        <v>622</v>
      </c>
      <c r="CE148" t="s">
        <v>554</v>
      </c>
      <c r="CF148" t="s">
        <v>3471</v>
      </c>
    </row>
    <row r="149" spans="1:85" ht="120">
      <c r="A149" t="s">
        <v>83</v>
      </c>
      <c r="B149" t="s">
        <v>3472</v>
      </c>
      <c r="C149" t="s">
        <v>85</v>
      </c>
      <c r="D149" t="s">
        <v>85</v>
      </c>
      <c r="E149" t="s">
        <v>85</v>
      </c>
      <c r="F149" t="s">
        <v>3473</v>
      </c>
      <c r="G149" t="s">
        <v>85</v>
      </c>
      <c r="H149" t="s">
        <v>85</v>
      </c>
      <c r="I149" s="5" t="s">
        <v>3474</v>
      </c>
      <c r="J149" t="s">
        <v>874</v>
      </c>
      <c r="K149" t="s">
        <v>85</v>
      </c>
      <c r="L149" t="s">
        <v>85</v>
      </c>
      <c r="M149" t="s">
        <v>89</v>
      </c>
      <c r="N149" t="s">
        <v>90</v>
      </c>
      <c r="O149" t="s">
        <v>85</v>
      </c>
      <c r="P149" t="s">
        <v>85</v>
      </c>
      <c r="Q149" t="s">
        <v>85</v>
      </c>
      <c r="R149" t="s">
        <v>85</v>
      </c>
      <c r="S149" t="s">
        <v>85</v>
      </c>
      <c r="T149" t="s">
        <v>3475</v>
      </c>
      <c r="U149" t="s">
        <v>3476</v>
      </c>
      <c r="V149" s="5" t="s">
        <v>3477</v>
      </c>
      <c r="W149" t="s">
        <v>3478</v>
      </c>
      <c r="X149" t="s">
        <v>3479</v>
      </c>
      <c r="Y149" t="s">
        <v>3480</v>
      </c>
      <c r="Z149" t="s">
        <v>3481</v>
      </c>
      <c r="AA149" t="s">
        <v>3482</v>
      </c>
      <c r="AB149" t="s">
        <v>3483</v>
      </c>
      <c r="AC149" t="s">
        <v>85</v>
      </c>
      <c r="AD149" t="s">
        <v>85</v>
      </c>
      <c r="AE149" t="s">
        <v>85</v>
      </c>
      <c r="AF149" t="s">
        <v>85</v>
      </c>
      <c r="AG149">
        <v>85</v>
      </c>
      <c r="AH149">
        <v>100</v>
      </c>
      <c r="AI149">
        <v>105</v>
      </c>
      <c r="AJ149">
        <v>8</v>
      </c>
      <c r="AK149">
        <v>96</v>
      </c>
      <c r="AL149" t="s">
        <v>137</v>
      </c>
      <c r="AM149" t="s">
        <v>138</v>
      </c>
      <c r="AN149" t="s">
        <v>139</v>
      </c>
      <c r="AO149" t="s">
        <v>85</v>
      </c>
      <c r="AP149" t="s">
        <v>884</v>
      </c>
      <c r="AQ149" t="s">
        <v>85</v>
      </c>
      <c r="AR149" t="s">
        <v>885</v>
      </c>
      <c r="AS149" t="s">
        <v>886</v>
      </c>
      <c r="AT149" t="s">
        <v>200</v>
      </c>
      <c r="AU149" s="6">
        <v>2018</v>
      </c>
      <c r="AV149">
        <v>15</v>
      </c>
      <c r="AW149">
        <v>10</v>
      </c>
      <c r="AX149" t="s">
        <v>85</v>
      </c>
      <c r="AY149" t="s">
        <v>85</v>
      </c>
      <c r="AZ149" t="s">
        <v>85</v>
      </c>
      <c r="BA149" t="s">
        <v>85</v>
      </c>
      <c r="BB149" t="s">
        <v>85</v>
      </c>
      <c r="BC149" t="s">
        <v>85</v>
      </c>
      <c r="BD149">
        <v>2180</v>
      </c>
      <c r="BE149" t="s">
        <v>3484</v>
      </c>
      <c r="BF149" t="str">
        <f>HYPERLINK("http://dx.doi.org/10.3390/ijerph15102180","http://dx.doi.org/10.3390/ijerph15102180")</f>
        <v>http://dx.doi.org/10.3390/ijerph15102180</v>
      </c>
      <c r="BG149" t="s">
        <v>85</v>
      </c>
      <c r="BH149" t="s">
        <v>85</v>
      </c>
      <c r="BI149">
        <v>15</v>
      </c>
      <c r="BJ149" s="6" t="s">
        <v>889</v>
      </c>
      <c r="BK149" t="s">
        <v>171</v>
      </c>
      <c r="BL149" t="s">
        <v>890</v>
      </c>
      <c r="BM149" t="s">
        <v>3485</v>
      </c>
      <c r="BN149">
        <v>30301177</v>
      </c>
      <c r="BO149" t="s">
        <v>3486</v>
      </c>
      <c r="BP149" t="s">
        <v>85</v>
      </c>
      <c r="BQ149" t="s">
        <v>85</v>
      </c>
      <c r="BR149" t="s">
        <v>116</v>
      </c>
      <c r="BS149" t="s">
        <v>3487</v>
      </c>
      <c r="BT149" t="str">
        <f>HYPERLINK("https%3A%2F%2Fwww.webofscience.com%2Fwos%2Fwoscc%2Ffull-record%2FWOS:000448818100122","View Full Record in Web of Science")</f>
        <v>View Full Record in Web of Science</v>
      </c>
      <c r="BW149" s="6" t="s">
        <v>491</v>
      </c>
      <c r="BX149" s="10" t="s">
        <v>3488</v>
      </c>
      <c r="CA149" s="10" t="s">
        <v>1123</v>
      </c>
      <c r="CB149" s="10" t="s">
        <v>1802</v>
      </c>
      <c r="CC149" s="10" t="s">
        <v>2084</v>
      </c>
      <c r="CD149" s="10" t="s">
        <v>1861</v>
      </c>
      <c r="CF149" s="7" t="s">
        <v>1754</v>
      </c>
      <c r="CG149" s="7" t="s">
        <v>3489</v>
      </c>
    </row>
    <row r="150" spans="1:85" ht="150">
      <c r="A150" t="s">
        <v>83</v>
      </c>
      <c r="B150" t="s">
        <v>3490</v>
      </c>
      <c r="C150" t="s">
        <v>85</v>
      </c>
      <c r="D150" t="s">
        <v>85</v>
      </c>
      <c r="E150" t="s">
        <v>85</v>
      </c>
      <c r="F150" t="s">
        <v>3491</v>
      </c>
      <c r="G150" t="s">
        <v>85</v>
      </c>
      <c r="H150" t="s">
        <v>85</v>
      </c>
      <c r="I150" s="5" t="s">
        <v>3492</v>
      </c>
      <c r="J150" t="s">
        <v>3493</v>
      </c>
      <c r="K150" t="s">
        <v>85</v>
      </c>
      <c r="L150" t="s">
        <v>85</v>
      </c>
      <c r="M150" t="s">
        <v>89</v>
      </c>
      <c r="N150" t="s">
        <v>90</v>
      </c>
      <c r="O150" t="s">
        <v>85</v>
      </c>
      <c r="P150" t="s">
        <v>85</v>
      </c>
      <c r="Q150" t="s">
        <v>85</v>
      </c>
      <c r="R150" t="s">
        <v>85</v>
      </c>
      <c r="S150" t="s">
        <v>85</v>
      </c>
      <c r="T150" t="s">
        <v>85</v>
      </c>
      <c r="U150" t="s">
        <v>3494</v>
      </c>
      <c r="V150" s="5" t="s">
        <v>3495</v>
      </c>
      <c r="W150" t="s">
        <v>3496</v>
      </c>
      <c r="X150" t="s">
        <v>3497</v>
      </c>
      <c r="Y150" t="s">
        <v>3498</v>
      </c>
      <c r="Z150" t="s">
        <v>3499</v>
      </c>
      <c r="AA150" t="s">
        <v>3500</v>
      </c>
      <c r="AB150" t="s">
        <v>85</v>
      </c>
      <c r="AC150" t="s">
        <v>3501</v>
      </c>
      <c r="AD150" t="s">
        <v>3502</v>
      </c>
      <c r="AE150" t="s">
        <v>85</v>
      </c>
      <c r="AF150" t="s">
        <v>85</v>
      </c>
      <c r="AG150">
        <v>89</v>
      </c>
      <c r="AH150">
        <v>41</v>
      </c>
      <c r="AI150">
        <v>42</v>
      </c>
      <c r="AJ150">
        <v>4</v>
      </c>
      <c r="AK150">
        <v>57</v>
      </c>
      <c r="AL150" t="s">
        <v>3503</v>
      </c>
      <c r="AM150" t="s">
        <v>3504</v>
      </c>
      <c r="AN150" t="s">
        <v>3505</v>
      </c>
      <c r="AO150" t="s">
        <v>3506</v>
      </c>
      <c r="AP150" t="s">
        <v>3507</v>
      </c>
      <c r="AQ150" t="s">
        <v>85</v>
      </c>
      <c r="AR150" t="s">
        <v>3508</v>
      </c>
      <c r="AS150" t="s">
        <v>3509</v>
      </c>
      <c r="AT150" t="s">
        <v>3510</v>
      </c>
      <c r="AU150" s="6">
        <v>2018</v>
      </c>
      <c r="AV150">
        <v>52</v>
      </c>
      <c r="AW150">
        <v>17</v>
      </c>
      <c r="AX150" t="s">
        <v>85</v>
      </c>
      <c r="AY150" t="s">
        <v>85</v>
      </c>
      <c r="AZ150" t="s">
        <v>85</v>
      </c>
      <c r="BA150" t="s">
        <v>85</v>
      </c>
      <c r="BB150">
        <v>9545</v>
      </c>
      <c r="BC150">
        <v>9555</v>
      </c>
      <c r="BD150" t="s">
        <v>85</v>
      </c>
      <c r="BE150" t="s">
        <v>3511</v>
      </c>
      <c r="BF150" t="str">
        <f>HYPERLINK("http://dx.doi.org/10.1021/acs.est.8b01781","http://dx.doi.org/10.1021/acs.est.8b01781")</f>
        <v>http://dx.doi.org/10.1021/acs.est.8b01781</v>
      </c>
      <c r="BG150" t="s">
        <v>85</v>
      </c>
      <c r="BH150" t="s">
        <v>85</v>
      </c>
      <c r="BI150">
        <v>11</v>
      </c>
      <c r="BJ150" s="6" t="s">
        <v>3512</v>
      </c>
      <c r="BK150" t="s">
        <v>171</v>
      </c>
      <c r="BL150" t="s">
        <v>3513</v>
      </c>
      <c r="BM150" t="s">
        <v>3514</v>
      </c>
      <c r="BN150">
        <v>30064205</v>
      </c>
      <c r="BO150" t="s">
        <v>3515</v>
      </c>
      <c r="BP150" t="s">
        <v>85</v>
      </c>
      <c r="BQ150" t="s">
        <v>85</v>
      </c>
      <c r="BR150" t="s">
        <v>116</v>
      </c>
      <c r="BS150" t="s">
        <v>3516</v>
      </c>
      <c r="BT150" t="str">
        <f>HYPERLINK("https%3A%2F%2Fwww.webofscience.com%2Fwos%2Fwoscc%2Ffull-record%2FWOS:000444061100002","View Full Record in Web of Science")</f>
        <v>View Full Record in Web of Science</v>
      </c>
      <c r="BX150" s="7" t="s">
        <v>406</v>
      </c>
      <c r="CA150" s="7" t="s">
        <v>1123</v>
      </c>
      <c r="CB150" s="10" t="s">
        <v>1802</v>
      </c>
      <c r="CC150" s="10" t="s">
        <v>2084</v>
      </c>
      <c r="CD150" s="10" t="s">
        <v>1861</v>
      </c>
      <c r="CF150" s="10" t="s">
        <v>260</v>
      </c>
    </row>
    <row r="151" spans="1:85" ht="135">
      <c r="A151" t="s">
        <v>83</v>
      </c>
      <c r="B151" t="s">
        <v>3517</v>
      </c>
      <c r="C151" t="s">
        <v>85</v>
      </c>
      <c r="D151" t="s">
        <v>85</v>
      </c>
      <c r="E151" t="s">
        <v>85</v>
      </c>
      <c r="F151" t="s">
        <v>3518</v>
      </c>
      <c r="G151" t="s">
        <v>85</v>
      </c>
      <c r="H151" t="s">
        <v>85</v>
      </c>
      <c r="I151" s="5" t="s">
        <v>3519</v>
      </c>
      <c r="J151" t="s">
        <v>158</v>
      </c>
      <c r="K151" t="s">
        <v>85</v>
      </c>
      <c r="L151" t="s">
        <v>85</v>
      </c>
      <c r="M151" t="s">
        <v>89</v>
      </c>
      <c r="N151" t="s">
        <v>90</v>
      </c>
      <c r="O151" t="s">
        <v>85</v>
      </c>
      <c r="P151" t="s">
        <v>85</v>
      </c>
      <c r="Q151" t="s">
        <v>85</v>
      </c>
      <c r="R151" t="s">
        <v>85</v>
      </c>
      <c r="S151" t="s">
        <v>85</v>
      </c>
      <c r="T151" t="s">
        <v>3520</v>
      </c>
      <c r="U151" t="s">
        <v>3521</v>
      </c>
      <c r="V151" s="5" t="s">
        <v>3522</v>
      </c>
      <c r="W151" t="s">
        <v>3523</v>
      </c>
      <c r="X151" t="s">
        <v>3524</v>
      </c>
      <c r="Y151" t="s">
        <v>3525</v>
      </c>
      <c r="Z151" t="s">
        <v>3526</v>
      </c>
      <c r="AA151" t="s">
        <v>85</v>
      </c>
      <c r="AB151" t="s">
        <v>3527</v>
      </c>
      <c r="AC151" t="s">
        <v>3528</v>
      </c>
      <c r="AD151" t="s">
        <v>3528</v>
      </c>
      <c r="AE151" t="s">
        <v>3529</v>
      </c>
      <c r="AF151" t="s">
        <v>85</v>
      </c>
      <c r="AG151">
        <v>65</v>
      </c>
      <c r="AH151">
        <v>15</v>
      </c>
      <c r="AI151">
        <v>15</v>
      </c>
      <c r="AJ151">
        <v>1</v>
      </c>
      <c r="AK151">
        <v>20</v>
      </c>
      <c r="AL151" t="s">
        <v>137</v>
      </c>
      <c r="AM151" t="s">
        <v>138</v>
      </c>
      <c r="AN151" t="s">
        <v>139</v>
      </c>
      <c r="AO151" t="s">
        <v>85</v>
      </c>
      <c r="AP151" t="s">
        <v>166</v>
      </c>
      <c r="AQ151" t="s">
        <v>85</v>
      </c>
      <c r="AR151" t="s">
        <v>167</v>
      </c>
      <c r="AS151" t="s">
        <v>168</v>
      </c>
      <c r="AT151" t="s">
        <v>329</v>
      </c>
      <c r="AU151" s="6">
        <v>2018</v>
      </c>
      <c r="AV151">
        <v>10</v>
      </c>
      <c r="AW151">
        <v>9</v>
      </c>
      <c r="AX151" t="s">
        <v>85</v>
      </c>
      <c r="AY151" t="s">
        <v>85</v>
      </c>
      <c r="AZ151" t="s">
        <v>85</v>
      </c>
      <c r="BA151" t="s">
        <v>85</v>
      </c>
      <c r="BB151" t="s">
        <v>85</v>
      </c>
      <c r="BC151" t="s">
        <v>85</v>
      </c>
      <c r="BD151">
        <v>3178</v>
      </c>
      <c r="BE151" t="s">
        <v>3530</v>
      </c>
      <c r="BF151" t="str">
        <f>HYPERLINK("http://dx.doi.org/10.3390/su10093178","http://dx.doi.org/10.3390/su10093178")</f>
        <v>http://dx.doi.org/10.3390/su10093178</v>
      </c>
      <c r="BG151" t="s">
        <v>85</v>
      </c>
      <c r="BH151" t="s">
        <v>85</v>
      </c>
      <c r="BI151">
        <v>30</v>
      </c>
      <c r="BJ151" s="6" t="s">
        <v>170</v>
      </c>
      <c r="BK151" t="s">
        <v>171</v>
      </c>
      <c r="BL151" t="s">
        <v>172</v>
      </c>
      <c r="BM151" t="s">
        <v>3531</v>
      </c>
      <c r="BN151" t="s">
        <v>85</v>
      </c>
      <c r="BO151" t="s">
        <v>115</v>
      </c>
      <c r="BP151" t="s">
        <v>85</v>
      </c>
      <c r="BQ151" t="s">
        <v>85</v>
      </c>
      <c r="BR151" t="s">
        <v>116</v>
      </c>
      <c r="BS151" t="s">
        <v>3532</v>
      </c>
      <c r="BT151" t="str">
        <f>HYPERLINK("https%3A%2F%2Fwww.webofscience.com%2Fwos%2Fwoscc%2Ffull-record%2FWOS:000446770200221","View Full Record in Web of Science")</f>
        <v>View Full Record in Web of Science</v>
      </c>
      <c r="BW151" s="6" t="s">
        <v>149</v>
      </c>
      <c r="BX151" s="10" t="s">
        <v>3533</v>
      </c>
      <c r="BY151" s="10" t="s">
        <v>151</v>
      </c>
      <c r="CA151" s="10" t="s">
        <v>3534</v>
      </c>
      <c r="CB151" s="10" t="s">
        <v>3535</v>
      </c>
      <c r="CC151" s="10" t="s">
        <v>2084</v>
      </c>
      <c r="CD151" s="10" t="s">
        <v>622</v>
      </c>
      <c r="CE151" s="10" t="s">
        <v>3536</v>
      </c>
      <c r="CF151" s="7" t="s">
        <v>3537</v>
      </c>
    </row>
    <row r="152" spans="1:85" ht="195">
      <c r="A152" t="s">
        <v>83</v>
      </c>
      <c r="B152" t="s">
        <v>3538</v>
      </c>
      <c r="C152" t="s">
        <v>85</v>
      </c>
      <c r="D152" t="s">
        <v>85</v>
      </c>
      <c r="E152" t="s">
        <v>85</v>
      </c>
      <c r="F152" t="s">
        <v>3539</v>
      </c>
      <c r="G152" t="s">
        <v>85</v>
      </c>
      <c r="H152" t="s">
        <v>85</v>
      </c>
      <c r="I152" s="5" t="s">
        <v>3540</v>
      </c>
      <c r="J152" t="s">
        <v>3541</v>
      </c>
      <c r="K152" t="s">
        <v>85</v>
      </c>
      <c r="L152" t="s">
        <v>85</v>
      </c>
      <c r="M152" t="s">
        <v>3542</v>
      </c>
      <c r="N152" t="s">
        <v>90</v>
      </c>
      <c r="O152" t="s">
        <v>85</v>
      </c>
      <c r="P152" t="s">
        <v>85</v>
      </c>
      <c r="Q152" t="s">
        <v>85</v>
      </c>
      <c r="R152" t="s">
        <v>85</v>
      </c>
      <c r="S152" t="s">
        <v>85</v>
      </c>
      <c r="T152" t="s">
        <v>3543</v>
      </c>
      <c r="U152" t="s">
        <v>3544</v>
      </c>
      <c r="V152" s="5" t="s">
        <v>3545</v>
      </c>
      <c r="W152" t="s">
        <v>3546</v>
      </c>
      <c r="X152" t="s">
        <v>85</v>
      </c>
      <c r="Y152" t="s">
        <v>3547</v>
      </c>
      <c r="Z152" t="s">
        <v>3548</v>
      </c>
      <c r="AA152" t="s">
        <v>85</v>
      </c>
      <c r="AB152" t="s">
        <v>85</v>
      </c>
      <c r="AC152" t="s">
        <v>85</v>
      </c>
      <c r="AD152" t="s">
        <v>85</v>
      </c>
      <c r="AE152" t="s">
        <v>85</v>
      </c>
      <c r="AF152" t="s">
        <v>85</v>
      </c>
      <c r="AG152">
        <v>65</v>
      </c>
      <c r="AH152">
        <v>3</v>
      </c>
      <c r="AI152">
        <v>4</v>
      </c>
      <c r="AJ152">
        <v>2</v>
      </c>
      <c r="AK152">
        <v>75</v>
      </c>
      <c r="AL152" t="s">
        <v>478</v>
      </c>
      <c r="AM152" t="s">
        <v>538</v>
      </c>
      <c r="AN152" t="s">
        <v>3549</v>
      </c>
      <c r="AO152" t="s">
        <v>3550</v>
      </c>
      <c r="AP152" t="s">
        <v>3551</v>
      </c>
      <c r="AQ152" t="s">
        <v>85</v>
      </c>
      <c r="AR152" t="s">
        <v>3552</v>
      </c>
      <c r="AS152" t="s">
        <v>3553</v>
      </c>
      <c r="AT152" t="s">
        <v>252</v>
      </c>
      <c r="AU152" s="6">
        <v>2018</v>
      </c>
      <c r="AV152">
        <v>61</v>
      </c>
      <c r="AW152">
        <v>6</v>
      </c>
      <c r="AX152" t="s">
        <v>85</v>
      </c>
      <c r="AY152" t="s">
        <v>85</v>
      </c>
      <c r="AZ152" t="s">
        <v>85</v>
      </c>
      <c r="BA152" t="s">
        <v>85</v>
      </c>
      <c r="BB152">
        <v>720</v>
      </c>
      <c r="BC152">
        <v>728</v>
      </c>
      <c r="BD152" t="s">
        <v>85</v>
      </c>
      <c r="BE152" t="s">
        <v>3554</v>
      </c>
      <c r="BF152" t="str">
        <f>HYPERLINK("http://dx.doi.org/10.1007/s00103-018-2744-9","http://dx.doi.org/10.1007/s00103-018-2744-9")</f>
        <v>http://dx.doi.org/10.1007/s00103-018-2744-9</v>
      </c>
      <c r="BG152" t="s">
        <v>85</v>
      </c>
      <c r="BH152" t="s">
        <v>85</v>
      </c>
      <c r="BI152">
        <v>9</v>
      </c>
      <c r="BJ152" s="6" t="s">
        <v>616</v>
      </c>
      <c r="BK152" t="s">
        <v>112</v>
      </c>
      <c r="BL152" t="s">
        <v>616</v>
      </c>
      <c r="BM152" t="s">
        <v>3555</v>
      </c>
      <c r="BN152">
        <v>29767336</v>
      </c>
      <c r="BO152" t="s">
        <v>206</v>
      </c>
      <c r="BP152" t="s">
        <v>85</v>
      </c>
      <c r="BQ152" t="s">
        <v>85</v>
      </c>
      <c r="BR152" t="s">
        <v>116</v>
      </c>
      <c r="BS152" t="s">
        <v>3556</v>
      </c>
      <c r="BT152" t="str">
        <f>HYPERLINK("https%3A%2F%2Fwww.webofscience.com%2Fwos%2Fwoscc%2Ffull-record%2FWOS:000433507100010","View Full Record in Web of Science")</f>
        <v>View Full Record in Web of Science</v>
      </c>
      <c r="BW152" s="6" t="s">
        <v>491</v>
      </c>
      <c r="BX152" s="10" t="s">
        <v>3557</v>
      </c>
      <c r="CB152" s="10" t="s">
        <v>3535</v>
      </c>
      <c r="CC152" s="10" t="s">
        <v>1861</v>
      </c>
      <c r="CF152" t="s">
        <v>241</v>
      </c>
    </row>
    <row r="153" spans="1:85" ht="165">
      <c r="A153" t="s">
        <v>83</v>
      </c>
      <c r="B153" t="s">
        <v>3558</v>
      </c>
      <c r="C153" t="s">
        <v>85</v>
      </c>
      <c r="D153" t="s">
        <v>85</v>
      </c>
      <c r="E153" t="s">
        <v>85</v>
      </c>
      <c r="F153" t="s">
        <v>3559</v>
      </c>
      <c r="G153" t="s">
        <v>85</v>
      </c>
      <c r="H153" t="s">
        <v>85</v>
      </c>
      <c r="I153" s="5" t="s">
        <v>3560</v>
      </c>
      <c r="J153" t="s">
        <v>3561</v>
      </c>
      <c r="K153" t="s">
        <v>85</v>
      </c>
      <c r="L153" t="s">
        <v>85</v>
      </c>
      <c r="M153" t="s">
        <v>89</v>
      </c>
      <c r="N153" t="s">
        <v>90</v>
      </c>
      <c r="O153" t="s">
        <v>85</v>
      </c>
      <c r="P153" t="s">
        <v>85</v>
      </c>
      <c r="Q153" t="s">
        <v>85</v>
      </c>
      <c r="R153" t="s">
        <v>85</v>
      </c>
      <c r="S153" t="s">
        <v>85</v>
      </c>
      <c r="T153" t="s">
        <v>3562</v>
      </c>
      <c r="U153" t="s">
        <v>3563</v>
      </c>
      <c r="V153" s="5" t="s">
        <v>3564</v>
      </c>
      <c r="W153" t="s">
        <v>3565</v>
      </c>
      <c r="X153" t="s">
        <v>3566</v>
      </c>
      <c r="Y153" t="s">
        <v>3567</v>
      </c>
      <c r="Z153" t="s">
        <v>3568</v>
      </c>
      <c r="AA153" t="s">
        <v>3569</v>
      </c>
      <c r="AB153" t="s">
        <v>3570</v>
      </c>
      <c r="AC153" t="s">
        <v>85</v>
      </c>
      <c r="AD153" t="s">
        <v>85</v>
      </c>
      <c r="AE153" t="s">
        <v>85</v>
      </c>
      <c r="AF153" t="s">
        <v>85</v>
      </c>
      <c r="AG153">
        <v>87</v>
      </c>
      <c r="AH153">
        <v>10</v>
      </c>
      <c r="AI153">
        <v>11</v>
      </c>
      <c r="AJ153">
        <v>3</v>
      </c>
      <c r="AK153">
        <v>72</v>
      </c>
      <c r="AL153" t="s">
        <v>3014</v>
      </c>
      <c r="AM153" t="s">
        <v>609</v>
      </c>
      <c r="AN153" t="s">
        <v>3015</v>
      </c>
      <c r="AO153" t="s">
        <v>3571</v>
      </c>
      <c r="AP153" t="s">
        <v>3572</v>
      </c>
      <c r="AQ153" t="s">
        <v>85</v>
      </c>
      <c r="AR153" t="s">
        <v>3573</v>
      </c>
      <c r="AS153" t="s">
        <v>3574</v>
      </c>
      <c r="AT153" t="s">
        <v>513</v>
      </c>
      <c r="AU153" s="6">
        <v>2018</v>
      </c>
      <c r="AV153">
        <v>25</v>
      </c>
      <c r="AW153">
        <v>2</v>
      </c>
      <c r="AX153" t="s">
        <v>85</v>
      </c>
      <c r="AY153" t="s">
        <v>85</v>
      </c>
      <c r="AZ153" t="s">
        <v>85</v>
      </c>
      <c r="BA153" t="s">
        <v>85</v>
      </c>
      <c r="BB153">
        <v>285</v>
      </c>
      <c r="BC153">
        <v>299</v>
      </c>
      <c r="BD153" t="s">
        <v>85</v>
      </c>
      <c r="BE153" t="s">
        <v>3575</v>
      </c>
      <c r="BF153" t="str">
        <f>HYPERLINK("http://dx.doi.org/10.1177/1474474017732978","http://dx.doi.org/10.1177/1474474017732978")</f>
        <v>http://dx.doi.org/10.1177/1474474017732978</v>
      </c>
      <c r="BG153" t="s">
        <v>85</v>
      </c>
      <c r="BH153" t="s">
        <v>85</v>
      </c>
      <c r="BI153">
        <v>15</v>
      </c>
      <c r="BJ153" s="6" t="s">
        <v>3576</v>
      </c>
      <c r="BK153" t="s">
        <v>146</v>
      </c>
      <c r="BL153" t="s">
        <v>3384</v>
      </c>
      <c r="BM153" t="s">
        <v>3577</v>
      </c>
      <c r="BN153" t="s">
        <v>85</v>
      </c>
      <c r="BO153" t="s">
        <v>1797</v>
      </c>
      <c r="BP153" t="s">
        <v>85</v>
      </c>
      <c r="BQ153" t="s">
        <v>85</v>
      </c>
      <c r="BR153" t="s">
        <v>116</v>
      </c>
      <c r="BS153" t="s">
        <v>3578</v>
      </c>
      <c r="BT153" t="str">
        <f>HYPERLINK("https%3A%2F%2Fwww.webofscience.com%2Fwos%2Fwoscc%2Ffull-record%2FWOS:000429786200002","View Full Record in Web of Science")</f>
        <v>View Full Record in Web of Science</v>
      </c>
      <c r="BW153" s="11" t="s">
        <v>149</v>
      </c>
      <c r="BX153" s="10" t="s">
        <v>3579</v>
      </c>
      <c r="CA153" s="7" t="s">
        <v>1123</v>
      </c>
      <c r="CB153" s="10" t="s">
        <v>3535</v>
      </c>
      <c r="CC153" s="10" t="s">
        <v>2084</v>
      </c>
      <c r="CD153" s="10" t="s">
        <v>3580</v>
      </c>
      <c r="CE153" t="s">
        <v>408</v>
      </c>
      <c r="CF153" s="7" t="s">
        <v>1145</v>
      </c>
    </row>
    <row r="154" spans="1:85" ht="240">
      <c r="A154" t="s">
        <v>83</v>
      </c>
      <c r="B154" t="s">
        <v>3581</v>
      </c>
      <c r="C154" t="s">
        <v>85</v>
      </c>
      <c r="D154" t="s">
        <v>85</v>
      </c>
      <c r="E154" t="s">
        <v>85</v>
      </c>
      <c r="F154" t="s">
        <v>3582</v>
      </c>
      <c r="G154" t="s">
        <v>85</v>
      </c>
      <c r="H154" t="s">
        <v>85</v>
      </c>
      <c r="I154" s="5" t="s">
        <v>3583</v>
      </c>
      <c r="J154" t="s">
        <v>3584</v>
      </c>
      <c r="K154" t="s">
        <v>85</v>
      </c>
      <c r="L154" t="s">
        <v>85</v>
      </c>
      <c r="M154" t="s">
        <v>89</v>
      </c>
      <c r="N154" t="s">
        <v>90</v>
      </c>
      <c r="O154" t="s">
        <v>85</v>
      </c>
      <c r="P154" t="s">
        <v>85</v>
      </c>
      <c r="Q154" t="s">
        <v>85</v>
      </c>
      <c r="R154" t="s">
        <v>85</v>
      </c>
      <c r="S154" t="s">
        <v>85</v>
      </c>
      <c r="T154" t="s">
        <v>85</v>
      </c>
      <c r="U154" t="s">
        <v>85</v>
      </c>
      <c r="V154" s="5" t="s">
        <v>3585</v>
      </c>
      <c r="W154" t="s">
        <v>3586</v>
      </c>
      <c r="X154" t="s">
        <v>3587</v>
      </c>
      <c r="Y154" t="s">
        <v>3588</v>
      </c>
      <c r="Z154" t="s">
        <v>3589</v>
      </c>
      <c r="AA154" t="s">
        <v>3590</v>
      </c>
      <c r="AB154" t="s">
        <v>3591</v>
      </c>
      <c r="AC154" t="s">
        <v>3592</v>
      </c>
      <c r="AD154" t="s">
        <v>3593</v>
      </c>
      <c r="AE154" t="s">
        <v>3594</v>
      </c>
      <c r="AF154" t="s">
        <v>85</v>
      </c>
      <c r="AG154">
        <v>37</v>
      </c>
      <c r="AH154">
        <v>60</v>
      </c>
      <c r="AI154">
        <v>61</v>
      </c>
      <c r="AJ154">
        <v>4</v>
      </c>
      <c r="AK154">
        <v>33</v>
      </c>
      <c r="AL154" t="s">
        <v>680</v>
      </c>
      <c r="AM154" t="s">
        <v>102</v>
      </c>
      <c r="AN154" t="s">
        <v>681</v>
      </c>
      <c r="AO154" t="s">
        <v>85</v>
      </c>
      <c r="AP154" t="s">
        <v>3595</v>
      </c>
      <c r="AQ154" t="s">
        <v>85</v>
      </c>
      <c r="AR154" t="s">
        <v>3596</v>
      </c>
      <c r="AS154" t="s">
        <v>3597</v>
      </c>
      <c r="AT154" t="s">
        <v>714</v>
      </c>
      <c r="AU154" s="6">
        <v>2018</v>
      </c>
      <c r="AV154">
        <v>2</v>
      </c>
      <c r="AW154">
        <v>3</v>
      </c>
      <c r="AX154" t="s">
        <v>85</v>
      </c>
      <c r="AY154" t="s">
        <v>85</v>
      </c>
      <c r="AZ154" t="s">
        <v>85</v>
      </c>
      <c r="BA154" t="s">
        <v>85</v>
      </c>
      <c r="BB154" t="s">
        <v>3598</v>
      </c>
      <c r="BC154" t="s">
        <v>3599</v>
      </c>
      <c r="BD154" t="s">
        <v>85</v>
      </c>
      <c r="BE154" t="s">
        <v>3600</v>
      </c>
      <c r="BF154" t="str">
        <f>HYPERLINK("http://dx.doi.org/10.1016/S2542-5196(18)30033-0","http://dx.doi.org/10.1016/S2542-5196(18)30033-0")</f>
        <v>http://dx.doi.org/10.1016/S2542-5196(18)30033-0</v>
      </c>
      <c r="BG154" t="s">
        <v>85</v>
      </c>
      <c r="BH154" t="s">
        <v>85</v>
      </c>
      <c r="BI154">
        <v>6</v>
      </c>
      <c r="BJ154" s="6" t="s">
        <v>889</v>
      </c>
      <c r="BK154" t="s">
        <v>171</v>
      </c>
      <c r="BL154" t="s">
        <v>890</v>
      </c>
      <c r="BM154" t="s">
        <v>3601</v>
      </c>
      <c r="BN154">
        <v>29546252</v>
      </c>
      <c r="BO154" t="s">
        <v>3602</v>
      </c>
      <c r="BP154" t="s">
        <v>85</v>
      </c>
      <c r="BQ154" t="s">
        <v>85</v>
      </c>
      <c r="BR154" t="s">
        <v>116</v>
      </c>
      <c r="BS154" t="s">
        <v>3603</v>
      </c>
      <c r="BT154" t="str">
        <f>HYPERLINK("https%3A%2F%2Fwww.webofscience.com%2Fwos%2Fwoscc%2Ffull-record%2FWOS:000525868500015","View Full Record in Web of Science")</f>
        <v>View Full Record in Web of Science</v>
      </c>
      <c r="BW154" s="11" t="s">
        <v>365</v>
      </c>
      <c r="BX154" s="7" t="s">
        <v>3604</v>
      </c>
      <c r="BY154" s="7" t="s">
        <v>289</v>
      </c>
      <c r="BZ154" s="8" t="s">
        <v>3605</v>
      </c>
      <c r="CA154" s="7" t="s">
        <v>3606</v>
      </c>
      <c r="CB154" s="10" t="s">
        <v>1802</v>
      </c>
      <c r="CC154" s="10" t="s">
        <v>2084</v>
      </c>
      <c r="CD154" s="7" t="s">
        <v>3607</v>
      </c>
      <c r="CE154" s="10" t="s">
        <v>554</v>
      </c>
      <c r="CF154" s="7" t="s">
        <v>3608</v>
      </c>
    </row>
    <row r="155" spans="1:85" ht="240">
      <c r="A155" t="s">
        <v>83</v>
      </c>
      <c r="B155" t="s">
        <v>3609</v>
      </c>
      <c r="C155" t="s">
        <v>85</v>
      </c>
      <c r="D155" t="s">
        <v>85</v>
      </c>
      <c r="E155" t="s">
        <v>85</v>
      </c>
      <c r="F155" t="s">
        <v>3610</v>
      </c>
      <c r="G155" t="s">
        <v>85</v>
      </c>
      <c r="H155" t="s">
        <v>85</v>
      </c>
      <c r="I155" s="5" t="s">
        <v>3611</v>
      </c>
      <c r="J155" t="s">
        <v>129</v>
      </c>
      <c r="K155" t="s">
        <v>85</v>
      </c>
      <c r="L155" t="s">
        <v>85</v>
      </c>
      <c r="M155" t="s">
        <v>89</v>
      </c>
      <c r="N155" t="s">
        <v>90</v>
      </c>
      <c r="O155" t="s">
        <v>85</v>
      </c>
      <c r="P155" t="s">
        <v>85</v>
      </c>
      <c r="Q155" t="s">
        <v>85</v>
      </c>
      <c r="R155" t="s">
        <v>85</v>
      </c>
      <c r="S155" t="s">
        <v>85</v>
      </c>
      <c r="T155" t="s">
        <v>3612</v>
      </c>
      <c r="U155" t="s">
        <v>3613</v>
      </c>
      <c r="V155" s="5" t="s">
        <v>3614</v>
      </c>
      <c r="W155" t="s">
        <v>3615</v>
      </c>
      <c r="X155" t="s">
        <v>3616</v>
      </c>
      <c r="Y155" t="s">
        <v>3617</v>
      </c>
      <c r="Z155" t="s">
        <v>3618</v>
      </c>
      <c r="AA155" t="s">
        <v>2868</v>
      </c>
      <c r="AB155" t="s">
        <v>3619</v>
      </c>
      <c r="AC155" t="s">
        <v>3620</v>
      </c>
      <c r="AD155" t="s">
        <v>3621</v>
      </c>
      <c r="AE155" t="s">
        <v>3622</v>
      </c>
      <c r="AF155" t="s">
        <v>85</v>
      </c>
      <c r="AG155">
        <v>66</v>
      </c>
      <c r="AH155">
        <v>56</v>
      </c>
      <c r="AI155">
        <v>59</v>
      </c>
      <c r="AJ155">
        <v>8</v>
      </c>
      <c r="AK155">
        <v>72</v>
      </c>
      <c r="AL155" t="s">
        <v>137</v>
      </c>
      <c r="AM155" t="s">
        <v>138</v>
      </c>
      <c r="AN155" t="s">
        <v>139</v>
      </c>
      <c r="AO155" t="s">
        <v>85</v>
      </c>
      <c r="AP155" t="s">
        <v>140</v>
      </c>
      <c r="AQ155" t="s">
        <v>85</v>
      </c>
      <c r="AR155" t="s">
        <v>141</v>
      </c>
      <c r="AS155" t="s">
        <v>142</v>
      </c>
      <c r="AT155" t="s">
        <v>714</v>
      </c>
      <c r="AU155" s="6">
        <v>2018</v>
      </c>
      <c r="AV155">
        <v>7</v>
      </c>
      <c r="AW155">
        <v>1</v>
      </c>
      <c r="AX155" t="s">
        <v>85</v>
      </c>
      <c r="AY155" t="s">
        <v>85</v>
      </c>
      <c r="AZ155" t="s">
        <v>85</v>
      </c>
      <c r="BA155" t="s">
        <v>85</v>
      </c>
      <c r="BB155" t="s">
        <v>85</v>
      </c>
      <c r="BC155" t="s">
        <v>85</v>
      </c>
      <c r="BD155">
        <v>17</v>
      </c>
      <c r="BE155" t="s">
        <v>3623</v>
      </c>
      <c r="BF155" t="str">
        <f>HYPERLINK("http://dx.doi.org/10.3390/land7010017","http://dx.doi.org/10.3390/land7010017")</f>
        <v>http://dx.doi.org/10.3390/land7010017</v>
      </c>
      <c r="BG155" t="s">
        <v>85</v>
      </c>
      <c r="BH155" t="s">
        <v>85</v>
      </c>
      <c r="BI155">
        <v>25</v>
      </c>
      <c r="BJ155" s="6" t="s">
        <v>145</v>
      </c>
      <c r="BK155" t="s">
        <v>146</v>
      </c>
      <c r="BL155" t="s">
        <v>113</v>
      </c>
      <c r="BM155" t="s">
        <v>3624</v>
      </c>
      <c r="BN155" t="s">
        <v>85</v>
      </c>
      <c r="BO155" t="s">
        <v>3625</v>
      </c>
      <c r="BP155" t="s">
        <v>85</v>
      </c>
      <c r="BQ155" t="s">
        <v>85</v>
      </c>
      <c r="BR155" t="s">
        <v>116</v>
      </c>
      <c r="BS155" t="s">
        <v>3626</v>
      </c>
      <c r="BT155" t="str">
        <f>HYPERLINK("https%3A%2F%2Fwww.webofscience.com%2Fwos%2Fwoscc%2Ffull-record%2FWOS:000428560100015","View Full Record in Web of Science")</f>
        <v>View Full Record in Web of Science</v>
      </c>
      <c r="BW155" s="6" t="s">
        <v>365</v>
      </c>
      <c r="BX155" s="10" t="s">
        <v>3627</v>
      </c>
      <c r="BY155" s="10" t="s">
        <v>3628</v>
      </c>
      <c r="BZ155" t="s">
        <v>3629</v>
      </c>
      <c r="CA155" s="10" t="s">
        <v>1123</v>
      </c>
      <c r="CB155" s="10" t="s">
        <v>1802</v>
      </c>
      <c r="CC155" s="10" t="s">
        <v>2084</v>
      </c>
      <c r="CE155" s="10" t="s">
        <v>1068</v>
      </c>
      <c r="CF155" s="7" t="s">
        <v>3630</v>
      </c>
    </row>
    <row r="156" spans="1:85" ht="165">
      <c r="A156" t="s">
        <v>83</v>
      </c>
      <c r="B156" t="s">
        <v>3631</v>
      </c>
      <c r="C156" t="s">
        <v>85</v>
      </c>
      <c r="D156" t="s">
        <v>85</v>
      </c>
      <c r="E156" t="s">
        <v>85</v>
      </c>
      <c r="F156" t="s">
        <v>3632</v>
      </c>
      <c r="G156" t="s">
        <v>85</v>
      </c>
      <c r="H156" t="s">
        <v>85</v>
      </c>
      <c r="I156" s="5" t="s">
        <v>3633</v>
      </c>
      <c r="J156" t="s">
        <v>3634</v>
      </c>
      <c r="K156" t="s">
        <v>85</v>
      </c>
      <c r="L156" t="s">
        <v>85</v>
      </c>
      <c r="M156" t="s">
        <v>89</v>
      </c>
      <c r="N156" t="s">
        <v>90</v>
      </c>
      <c r="O156" t="s">
        <v>85</v>
      </c>
      <c r="P156" t="s">
        <v>85</v>
      </c>
      <c r="Q156" t="s">
        <v>85</v>
      </c>
      <c r="R156" t="s">
        <v>85</v>
      </c>
      <c r="S156" t="s">
        <v>85</v>
      </c>
      <c r="T156" t="s">
        <v>3635</v>
      </c>
      <c r="U156" t="s">
        <v>3636</v>
      </c>
      <c r="V156" s="5" t="s">
        <v>3637</v>
      </c>
      <c r="W156" t="s">
        <v>3638</v>
      </c>
      <c r="X156" t="s">
        <v>3639</v>
      </c>
      <c r="Y156" t="s">
        <v>3640</v>
      </c>
      <c r="Z156" t="s">
        <v>3641</v>
      </c>
      <c r="AA156" t="s">
        <v>3642</v>
      </c>
      <c r="AB156" t="s">
        <v>3643</v>
      </c>
      <c r="AC156" t="s">
        <v>3644</v>
      </c>
      <c r="AD156" t="s">
        <v>3645</v>
      </c>
      <c r="AE156" t="s">
        <v>3646</v>
      </c>
      <c r="AF156" t="s">
        <v>85</v>
      </c>
      <c r="AG156">
        <v>67</v>
      </c>
      <c r="AH156">
        <v>4</v>
      </c>
      <c r="AI156">
        <v>4</v>
      </c>
      <c r="AJ156">
        <v>1</v>
      </c>
      <c r="AK156">
        <v>18</v>
      </c>
      <c r="AL156" t="s">
        <v>3647</v>
      </c>
      <c r="AM156" t="s">
        <v>3648</v>
      </c>
      <c r="AN156" t="s">
        <v>3649</v>
      </c>
      <c r="AO156" t="s">
        <v>3650</v>
      </c>
      <c r="AP156" t="s">
        <v>3651</v>
      </c>
      <c r="AQ156" t="s">
        <v>85</v>
      </c>
      <c r="AR156" t="s">
        <v>3652</v>
      </c>
      <c r="AS156" t="s">
        <v>3653</v>
      </c>
      <c r="AT156" t="s">
        <v>85</v>
      </c>
      <c r="AU156" s="6">
        <v>2018</v>
      </c>
      <c r="AV156">
        <v>196</v>
      </c>
      <c r="AW156">
        <v>1</v>
      </c>
      <c r="AX156" t="s">
        <v>85</v>
      </c>
      <c r="AY156" t="s">
        <v>85</v>
      </c>
      <c r="AZ156" t="s">
        <v>85</v>
      </c>
      <c r="BA156" t="s">
        <v>85</v>
      </c>
      <c r="BB156">
        <v>9</v>
      </c>
      <c r="BC156">
        <v>23</v>
      </c>
      <c r="BD156" t="s">
        <v>85</v>
      </c>
      <c r="BE156" t="s">
        <v>3654</v>
      </c>
      <c r="BF156" t="str">
        <f>HYPERLINK("http://dx.doi.org/10.11143/fennia.64137","http://dx.doi.org/10.11143/fennia.64137")</f>
        <v>http://dx.doi.org/10.11143/fennia.64137</v>
      </c>
      <c r="BG156" t="s">
        <v>85</v>
      </c>
      <c r="BH156" t="s">
        <v>85</v>
      </c>
      <c r="BI156">
        <v>15</v>
      </c>
      <c r="BJ156" s="6" t="s">
        <v>1338</v>
      </c>
      <c r="BK156" t="s">
        <v>1778</v>
      </c>
      <c r="BL156" t="s">
        <v>1338</v>
      </c>
      <c r="BM156" t="s">
        <v>3655</v>
      </c>
      <c r="BN156" t="s">
        <v>85</v>
      </c>
      <c r="BO156" t="s">
        <v>115</v>
      </c>
      <c r="BP156" t="s">
        <v>85</v>
      </c>
      <c r="BQ156" t="s">
        <v>85</v>
      </c>
      <c r="BR156" t="s">
        <v>116</v>
      </c>
      <c r="BS156" t="s">
        <v>3656</v>
      </c>
      <c r="BT156" t="str">
        <f>HYPERLINK("https%3A%2F%2Fwww.webofscience.com%2Fwos%2Fwoscc%2Ffull-record%2FWOS:000433404800003","View Full Record in Web of Science")</f>
        <v>View Full Record in Web of Science</v>
      </c>
      <c r="BW156" s="6" t="s">
        <v>149</v>
      </c>
      <c r="BX156" s="10" t="s">
        <v>3657</v>
      </c>
      <c r="BY156" s="10" t="s">
        <v>289</v>
      </c>
      <c r="CB156" s="10" t="s">
        <v>1802</v>
      </c>
      <c r="CC156" s="10" t="s">
        <v>2084</v>
      </c>
      <c r="CD156" s="10" t="s">
        <v>622</v>
      </c>
      <c r="CE156" t="s">
        <v>554</v>
      </c>
      <c r="CF156" t="s">
        <v>3658</v>
      </c>
    </row>
    <row r="157" spans="1:85" ht="140.25">
      <c r="A157" t="s">
        <v>83</v>
      </c>
      <c r="B157" t="s">
        <v>3659</v>
      </c>
      <c r="C157" t="s">
        <v>85</v>
      </c>
      <c r="D157" t="s">
        <v>85</v>
      </c>
      <c r="E157" t="s">
        <v>85</v>
      </c>
      <c r="F157" t="s">
        <v>3660</v>
      </c>
      <c r="G157" t="s">
        <v>85</v>
      </c>
      <c r="H157" t="s">
        <v>85</v>
      </c>
      <c r="I157" s="5" t="s">
        <v>3661</v>
      </c>
      <c r="J157" t="s">
        <v>312</v>
      </c>
      <c r="K157" t="s">
        <v>85</v>
      </c>
      <c r="L157" t="s">
        <v>85</v>
      </c>
      <c r="M157" t="s">
        <v>89</v>
      </c>
      <c r="N157" t="s">
        <v>90</v>
      </c>
      <c r="O157" t="s">
        <v>85</v>
      </c>
      <c r="P157" t="s">
        <v>85</v>
      </c>
      <c r="Q157" t="s">
        <v>85</v>
      </c>
      <c r="R157" t="s">
        <v>85</v>
      </c>
      <c r="S157" t="s">
        <v>85</v>
      </c>
      <c r="T157" t="s">
        <v>85</v>
      </c>
      <c r="U157" t="s">
        <v>3662</v>
      </c>
      <c r="V157" s="9" t="s">
        <v>3663</v>
      </c>
      <c r="W157" t="s">
        <v>3664</v>
      </c>
      <c r="X157" t="s">
        <v>3665</v>
      </c>
      <c r="Y157" t="s">
        <v>3666</v>
      </c>
      <c r="Z157" t="s">
        <v>3667</v>
      </c>
      <c r="AA157" t="s">
        <v>3668</v>
      </c>
      <c r="AB157" t="s">
        <v>3669</v>
      </c>
      <c r="AC157" t="s">
        <v>3670</v>
      </c>
      <c r="AD157" t="s">
        <v>3671</v>
      </c>
      <c r="AE157" t="s">
        <v>3672</v>
      </c>
      <c r="AF157" t="s">
        <v>85</v>
      </c>
      <c r="AG157">
        <v>61</v>
      </c>
      <c r="AH157">
        <v>48</v>
      </c>
      <c r="AI157">
        <v>48</v>
      </c>
      <c r="AJ157">
        <v>4</v>
      </c>
      <c r="AK157">
        <v>61</v>
      </c>
      <c r="AL157" t="s">
        <v>193</v>
      </c>
      <c r="AM157" t="s">
        <v>194</v>
      </c>
      <c r="AN157" t="s">
        <v>195</v>
      </c>
      <c r="AO157" t="s">
        <v>325</v>
      </c>
      <c r="AP157" t="s">
        <v>326</v>
      </c>
      <c r="AQ157" t="s">
        <v>85</v>
      </c>
      <c r="AR157" t="s">
        <v>327</v>
      </c>
      <c r="AS157" t="s">
        <v>328</v>
      </c>
      <c r="AT157" t="s">
        <v>887</v>
      </c>
      <c r="AU157" s="6">
        <v>2017</v>
      </c>
      <c r="AV157">
        <v>167</v>
      </c>
      <c r="AW157" t="s">
        <v>85</v>
      </c>
      <c r="AX157" t="s">
        <v>85</v>
      </c>
      <c r="AY157" t="s">
        <v>85</v>
      </c>
      <c r="AZ157" t="s">
        <v>85</v>
      </c>
      <c r="BA157" t="s">
        <v>85</v>
      </c>
      <c r="BB157">
        <v>136</v>
      </c>
      <c r="BC157">
        <v>146</v>
      </c>
      <c r="BD157" t="s">
        <v>85</v>
      </c>
      <c r="BE157" t="s">
        <v>3673</v>
      </c>
      <c r="BF157" t="str">
        <f>HYPERLINK("http://dx.doi.org/10.1016/j.landurbplan.2017.06.008","http://dx.doi.org/10.1016/j.landurbplan.2017.06.008")</f>
        <v>http://dx.doi.org/10.1016/j.landurbplan.2017.06.008</v>
      </c>
      <c r="BG157" t="s">
        <v>85</v>
      </c>
      <c r="BH157" t="s">
        <v>85</v>
      </c>
      <c r="BI157">
        <v>11</v>
      </c>
      <c r="BJ157" s="6" t="s">
        <v>331</v>
      </c>
      <c r="BK157" t="s">
        <v>171</v>
      </c>
      <c r="BL157" t="s">
        <v>332</v>
      </c>
      <c r="BM157" t="s">
        <v>3674</v>
      </c>
      <c r="BN157" t="s">
        <v>85</v>
      </c>
      <c r="BO157" t="s">
        <v>427</v>
      </c>
      <c r="BP157" t="s">
        <v>85</v>
      </c>
      <c r="BQ157" t="s">
        <v>85</v>
      </c>
      <c r="BR157" t="s">
        <v>116</v>
      </c>
      <c r="BS157" t="s">
        <v>3675</v>
      </c>
      <c r="BT157" t="str">
        <f>HYPERLINK("https%3A%2F%2Fwww.webofscience.com%2Fwos%2Fwoscc%2Ffull-record%2FWOS:000412959400013","View Full Record in Web of Science")</f>
        <v>View Full Record in Web of Science</v>
      </c>
      <c r="BW157" s="11" t="s">
        <v>149</v>
      </c>
      <c r="BX157" s="7" t="s">
        <v>3676</v>
      </c>
      <c r="BY157" s="7" t="s">
        <v>3677</v>
      </c>
      <c r="CA157" s="7" t="s">
        <v>3678</v>
      </c>
      <c r="CB157" s="10" t="s">
        <v>1802</v>
      </c>
      <c r="CC157" s="10" t="s">
        <v>2084</v>
      </c>
      <c r="CD157" s="10" t="s">
        <v>622</v>
      </c>
      <c r="CE157" t="s">
        <v>554</v>
      </c>
      <c r="CF157" s="7" t="s">
        <v>3679</v>
      </c>
    </row>
    <row r="158" spans="1:85" s="25" customFormat="1" ht="165">
      <c r="A158" s="25" t="s">
        <v>83</v>
      </c>
      <c r="B158" s="25" t="s">
        <v>3680</v>
      </c>
      <c r="C158" s="25" t="s">
        <v>85</v>
      </c>
      <c r="D158" s="25" t="s">
        <v>85</v>
      </c>
      <c r="E158" s="25" t="s">
        <v>85</v>
      </c>
      <c r="F158" s="25" t="s">
        <v>3681</v>
      </c>
      <c r="G158" s="25" t="s">
        <v>85</v>
      </c>
      <c r="H158" s="25" t="s">
        <v>85</v>
      </c>
      <c r="I158" s="26" t="s">
        <v>3682</v>
      </c>
      <c r="J158" s="25" t="s">
        <v>3683</v>
      </c>
      <c r="K158" s="25" t="s">
        <v>85</v>
      </c>
      <c r="L158" s="25" t="s">
        <v>85</v>
      </c>
      <c r="M158" s="25" t="s">
        <v>89</v>
      </c>
      <c r="N158" s="25" t="s">
        <v>90</v>
      </c>
      <c r="O158" s="25" t="s">
        <v>85</v>
      </c>
      <c r="P158" s="25" t="s">
        <v>85</v>
      </c>
      <c r="Q158" s="25" t="s">
        <v>85</v>
      </c>
      <c r="R158" s="25" t="s">
        <v>85</v>
      </c>
      <c r="S158" s="25" t="s">
        <v>85</v>
      </c>
      <c r="T158" s="25" t="s">
        <v>3684</v>
      </c>
      <c r="U158" s="25" t="s">
        <v>3685</v>
      </c>
      <c r="V158" s="26" t="s">
        <v>3686</v>
      </c>
      <c r="W158" s="25" t="s">
        <v>3687</v>
      </c>
      <c r="X158" s="25" t="s">
        <v>3688</v>
      </c>
      <c r="Y158" s="25" t="s">
        <v>3689</v>
      </c>
      <c r="Z158" s="25" t="s">
        <v>3690</v>
      </c>
      <c r="AA158" s="25" t="s">
        <v>3691</v>
      </c>
      <c r="AB158" s="25" t="s">
        <v>3692</v>
      </c>
      <c r="AC158" s="25" t="s">
        <v>3693</v>
      </c>
      <c r="AD158" s="25" t="s">
        <v>3694</v>
      </c>
      <c r="AE158" s="25" t="s">
        <v>3695</v>
      </c>
      <c r="AF158" s="25" t="s">
        <v>85</v>
      </c>
      <c r="AG158" s="25">
        <v>91</v>
      </c>
      <c r="AH158" s="25">
        <v>4</v>
      </c>
      <c r="AI158" s="25">
        <v>4</v>
      </c>
      <c r="AJ158" s="25">
        <v>1</v>
      </c>
      <c r="AK158" s="25">
        <v>6</v>
      </c>
      <c r="AL158" s="25" t="s">
        <v>680</v>
      </c>
      <c r="AM158" s="25" t="s">
        <v>102</v>
      </c>
      <c r="AN158" s="25" t="s">
        <v>681</v>
      </c>
      <c r="AO158" s="25" t="s">
        <v>3696</v>
      </c>
      <c r="AP158" s="25" t="s">
        <v>3697</v>
      </c>
      <c r="AQ158" s="25" t="s">
        <v>85</v>
      </c>
      <c r="AR158" s="25" t="s">
        <v>3698</v>
      </c>
      <c r="AS158" s="25" t="s">
        <v>3699</v>
      </c>
      <c r="AT158" s="25" t="s">
        <v>887</v>
      </c>
      <c r="AU158" s="27">
        <v>2017</v>
      </c>
      <c r="AV158" s="25">
        <v>4</v>
      </c>
      <c r="AW158" s="25">
        <v>4</v>
      </c>
      <c r="AX158" s="25" t="s">
        <v>85</v>
      </c>
      <c r="AY158" s="25" t="s">
        <v>85</v>
      </c>
      <c r="AZ158" s="25" t="s">
        <v>85</v>
      </c>
      <c r="BA158" s="25" t="s">
        <v>85</v>
      </c>
      <c r="BB158" s="25">
        <v>875</v>
      </c>
      <c r="BC158" s="25">
        <v>884</v>
      </c>
      <c r="BD158" s="25" t="s">
        <v>85</v>
      </c>
      <c r="BE158" s="25" t="s">
        <v>3700</v>
      </c>
      <c r="BF158" s="25" t="str">
        <f>HYPERLINK("http://dx.doi.org/10.1016/j.exis.2017.09.004","http://dx.doi.org/10.1016/j.exis.2017.09.004")</f>
        <v>http://dx.doi.org/10.1016/j.exis.2017.09.004</v>
      </c>
      <c r="BG158" s="25" t="s">
        <v>85</v>
      </c>
      <c r="BH158" s="25" t="s">
        <v>85</v>
      </c>
      <c r="BI158" s="25">
        <v>10</v>
      </c>
      <c r="BJ158" s="27" t="s">
        <v>145</v>
      </c>
      <c r="BK158" s="25" t="s">
        <v>146</v>
      </c>
      <c r="BL158" s="25" t="s">
        <v>113</v>
      </c>
      <c r="BM158" s="25" t="s">
        <v>3701</v>
      </c>
      <c r="BN158" s="25" t="s">
        <v>85</v>
      </c>
      <c r="BO158" s="25" t="s">
        <v>85</v>
      </c>
      <c r="BP158" s="25" t="s">
        <v>85</v>
      </c>
      <c r="BQ158" s="25" t="s">
        <v>85</v>
      </c>
      <c r="BR158" s="25" t="s">
        <v>116</v>
      </c>
      <c r="BS158" s="25" t="s">
        <v>3702</v>
      </c>
      <c r="BT158" s="25" t="str">
        <f>HYPERLINK("https%3A%2F%2Fwww.webofscience.com%2Fwos%2Fwoscc%2Ffull-record%2FWOS:000417421300024","View Full Record in Web of Science")</f>
        <v>View Full Record in Web of Science</v>
      </c>
      <c r="BW158" s="27" t="s">
        <v>149</v>
      </c>
      <c r="BX158" s="28" t="s">
        <v>3703</v>
      </c>
      <c r="BY158" s="28"/>
      <c r="CA158" s="28" t="s">
        <v>3069</v>
      </c>
      <c r="CB158" s="28" t="s">
        <v>1802</v>
      </c>
      <c r="CC158" s="28" t="s">
        <v>2084</v>
      </c>
      <c r="CD158" s="28" t="s">
        <v>622</v>
      </c>
      <c r="CE158" s="28" t="s">
        <v>3704</v>
      </c>
      <c r="CF158" s="28" t="s">
        <v>409</v>
      </c>
      <c r="CG158" s="28" t="s">
        <v>3705</v>
      </c>
    </row>
    <row r="159" spans="1:85" ht="165">
      <c r="A159" t="s">
        <v>83</v>
      </c>
      <c r="B159" t="s">
        <v>3706</v>
      </c>
      <c r="C159" t="s">
        <v>85</v>
      </c>
      <c r="D159" t="s">
        <v>85</v>
      </c>
      <c r="E159" t="s">
        <v>85</v>
      </c>
      <c r="F159" t="s">
        <v>3707</v>
      </c>
      <c r="G159" t="s">
        <v>85</v>
      </c>
      <c r="H159" t="s">
        <v>85</v>
      </c>
      <c r="I159" s="5" t="s">
        <v>3708</v>
      </c>
      <c r="J159" t="s">
        <v>312</v>
      </c>
      <c r="K159" t="s">
        <v>85</v>
      </c>
      <c r="L159" t="s">
        <v>85</v>
      </c>
      <c r="M159" t="s">
        <v>89</v>
      </c>
      <c r="N159" t="s">
        <v>90</v>
      </c>
      <c r="O159" t="s">
        <v>85</v>
      </c>
      <c r="P159" t="s">
        <v>85</v>
      </c>
      <c r="Q159" t="s">
        <v>85</v>
      </c>
      <c r="R159" t="s">
        <v>85</v>
      </c>
      <c r="S159" t="s">
        <v>85</v>
      </c>
      <c r="T159" t="s">
        <v>85</v>
      </c>
      <c r="U159" t="s">
        <v>3709</v>
      </c>
      <c r="V159" s="5" t="s">
        <v>3710</v>
      </c>
      <c r="W159" t="s">
        <v>3711</v>
      </c>
      <c r="X159" t="s">
        <v>1153</v>
      </c>
      <c r="Y159" t="s">
        <v>3712</v>
      </c>
      <c r="Z159" t="s">
        <v>3713</v>
      </c>
      <c r="AA159" t="s">
        <v>3714</v>
      </c>
      <c r="AB159" t="s">
        <v>3715</v>
      </c>
      <c r="AC159" t="s">
        <v>3716</v>
      </c>
      <c r="AD159" t="s">
        <v>3717</v>
      </c>
      <c r="AE159" t="s">
        <v>3718</v>
      </c>
      <c r="AF159" t="s">
        <v>85</v>
      </c>
      <c r="AG159">
        <v>59</v>
      </c>
      <c r="AH159">
        <v>92</v>
      </c>
      <c r="AI159">
        <v>93</v>
      </c>
      <c r="AJ159">
        <v>6</v>
      </c>
      <c r="AK159">
        <v>100</v>
      </c>
      <c r="AL159" t="s">
        <v>3719</v>
      </c>
      <c r="AM159" t="s">
        <v>194</v>
      </c>
      <c r="AN159" t="s">
        <v>3720</v>
      </c>
      <c r="AO159" t="s">
        <v>325</v>
      </c>
      <c r="AP159" t="s">
        <v>326</v>
      </c>
      <c r="AQ159" t="s">
        <v>85</v>
      </c>
      <c r="AR159" t="s">
        <v>327</v>
      </c>
      <c r="AS159" t="s">
        <v>328</v>
      </c>
      <c r="AT159" t="s">
        <v>887</v>
      </c>
      <c r="AU159" s="6">
        <v>2017</v>
      </c>
      <c r="AV159">
        <v>167</v>
      </c>
      <c r="AW159" t="s">
        <v>85</v>
      </c>
      <c r="AX159" t="s">
        <v>85</v>
      </c>
      <c r="AY159" t="s">
        <v>85</v>
      </c>
      <c r="AZ159" t="s">
        <v>85</v>
      </c>
      <c r="BA159" t="s">
        <v>85</v>
      </c>
      <c r="BB159">
        <v>118</v>
      </c>
      <c r="BC159">
        <v>127</v>
      </c>
      <c r="BD159" t="s">
        <v>85</v>
      </c>
      <c r="BE159" t="s">
        <v>3721</v>
      </c>
      <c r="BF159" t="str">
        <f>HYPERLINK("http://dx.doi.org/10.1016/j.landurbplan.2017.06.003","http://dx.doi.org/10.1016/j.landurbplan.2017.06.003")</f>
        <v>http://dx.doi.org/10.1016/j.landurbplan.2017.06.003</v>
      </c>
      <c r="BG159" t="s">
        <v>85</v>
      </c>
      <c r="BH159" t="s">
        <v>85</v>
      </c>
      <c r="BI159">
        <v>10</v>
      </c>
      <c r="BJ159" s="6" t="s">
        <v>331</v>
      </c>
      <c r="BK159" t="s">
        <v>171</v>
      </c>
      <c r="BL159" t="s">
        <v>332</v>
      </c>
      <c r="BM159" t="s">
        <v>3674</v>
      </c>
      <c r="BN159" t="s">
        <v>85</v>
      </c>
      <c r="BO159" t="s">
        <v>2148</v>
      </c>
      <c r="BP159" t="s">
        <v>85</v>
      </c>
      <c r="BQ159" t="s">
        <v>85</v>
      </c>
      <c r="BR159" t="s">
        <v>116</v>
      </c>
      <c r="BS159" t="s">
        <v>3722</v>
      </c>
      <c r="BT159" t="str">
        <f>HYPERLINK("https%3A%2F%2Fwww.webofscience.com%2Fwos%2Fwoscc%2Ffull-record%2FWOS:000412959400011","View Full Record in Web of Science")</f>
        <v>View Full Record in Web of Science</v>
      </c>
      <c r="BW159" s="11" t="s">
        <v>149</v>
      </c>
      <c r="BX159" s="7" t="s">
        <v>3723</v>
      </c>
      <c r="BY159" s="7" t="s">
        <v>151</v>
      </c>
      <c r="CA159" s="7" t="s">
        <v>3724</v>
      </c>
      <c r="CB159" s="10" t="s">
        <v>1802</v>
      </c>
      <c r="CC159" s="10" t="s">
        <v>2084</v>
      </c>
      <c r="CD159" s="10" t="s">
        <v>622</v>
      </c>
      <c r="CE159" s="10" t="s">
        <v>554</v>
      </c>
      <c r="CF159" s="7" t="s">
        <v>369</v>
      </c>
    </row>
    <row r="160" spans="1:85" ht="225">
      <c r="A160" t="s">
        <v>83</v>
      </c>
      <c r="B160" t="s">
        <v>3725</v>
      </c>
      <c r="C160" t="s">
        <v>85</v>
      </c>
      <c r="D160" t="s">
        <v>85</v>
      </c>
      <c r="E160" t="s">
        <v>85</v>
      </c>
      <c r="F160" t="s">
        <v>3726</v>
      </c>
      <c r="G160" t="s">
        <v>85</v>
      </c>
      <c r="H160" t="s">
        <v>85</v>
      </c>
      <c r="I160" s="5" t="s">
        <v>3727</v>
      </c>
      <c r="J160" t="s">
        <v>181</v>
      </c>
      <c r="K160" t="s">
        <v>85</v>
      </c>
      <c r="L160" t="s">
        <v>85</v>
      </c>
      <c r="M160" t="s">
        <v>89</v>
      </c>
      <c r="N160" t="s">
        <v>90</v>
      </c>
      <c r="O160" t="s">
        <v>85</v>
      </c>
      <c r="P160" t="s">
        <v>85</v>
      </c>
      <c r="Q160" t="s">
        <v>85</v>
      </c>
      <c r="R160" t="s">
        <v>85</v>
      </c>
      <c r="S160" t="s">
        <v>85</v>
      </c>
      <c r="T160" t="s">
        <v>3728</v>
      </c>
      <c r="U160" t="s">
        <v>3729</v>
      </c>
      <c r="V160" s="5" t="s">
        <v>3730</v>
      </c>
      <c r="W160" t="s">
        <v>3731</v>
      </c>
      <c r="X160" t="s">
        <v>3732</v>
      </c>
      <c r="Y160" t="s">
        <v>3733</v>
      </c>
      <c r="Z160" t="s">
        <v>3734</v>
      </c>
      <c r="AA160" t="s">
        <v>3735</v>
      </c>
      <c r="AB160" t="s">
        <v>3736</v>
      </c>
      <c r="AC160" t="s">
        <v>3737</v>
      </c>
      <c r="AD160" t="s">
        <v>3738</v>
      </c>
      <c r="AE160" t="s">
        <v>3739</v>
      </c>
      <c r="AF160" t="s">
        <v>85</v>
      </c>
      <c r="AG160">
        <v>33</v>
      </c>
      <c r="AH160">
        <v>14</v>
      </c>
      <c r="AI160">
        <v>15</v>
      </c>
      <c r="AJ160">
        <v>4</v>
      </c>
      <c r="AK160">
        <v>37</v>
      </c>
      <c r="AL160" t="s">
        <v>3719</v>
      </c>
      <c r="AM160" t="s">
        <v>194</v>
      </c>
      <c r="AN160" t="s">
        <v>3720</v>
      </c>
      <c r="AO160" t="s">
        <v>196</v>
      </c>
      <c r="AP160" t="s">
        <v>197</v>
      </c>
      <c r="AQ160" t="s">
        <v>85</v>
      </c>
      <c r="AR160" t="s">
        <v>198</v>
      </c>
      <c r="AS160" t="s">
        <v>199</v>
      </c>
      <c r="AT160" t="s">
        <v>143</v>
      </c>
      <c r="AU160" s="6">
        <v>2017</v>
      </c>
      <c r="AV160">
        <v>78</v>
      </c>
      <c r="AW160" t="s">
        <v>85</v>
      </c>
      <c r="AX160" t="s">
        <v>85</v>
      </c>
      <c r="AY160" t="s">
        <v>85</v>
      </c>
      <c r="AZ160" t="s">
        <v>85</v>
      </c>
      <c r="BA160" t="s">
        <v>85</v>
      </c>
      <c r="BB160">
        <v>125</v>
      </c>
      <c r="BC160">
        <v>130</v>
      </c>
      <c r="BD160" t="s">
        <v>85</v>
      </c>
      <c r="BE160" t="s">
        <v>3740</v>
      </c>
      <c r="BF160" t="str">
        <f>HYPERLINK("http://dx.doi.org/10.1016/j.ecolind.2017.02.035","http://dx.doi.org/10.1016/j.ecolind.2017.02.035")</f>
        <v>http://dx.doi.org/10.1016/j.ecolind.2017.02.035</v>
      </c>
      <c r="BG160" t="s">
        <v>85</v>
      </c>
      <c r="BH160" t="s">
        <v>85</v>
      </c>
      <c r="BI160">
        <v>6</v>
      </c>
      <c r="BJ160" s="6" t="s">
        <v>203</v>
      </c>
      <c r="BK160" t="s">
        <v>171</v>
      </c>
      <c r="BL160" t="s">
        <v>204</v>
      </c>
      <c r="BM160" t="s">
        <v>3741</v>
      </c>
      <c r="BN160" t="s">
        <v>85</v>
      </c>
      <c r="BO160" t="s">
        <v>85</v>
      </c>
      <c r="BP160" t="s">
        <v>85</v>
      </c>
      <c r="BQ160" t="s">
        <v>85</v>
      </c>
      <c r="BR160" t="s">
        <v>116</v>
      </c>
      <c r="BS160" t="s">
        <v>3742</v>
      </c>
      <c r="BT160" t="str">
        <f>HYPERLINK("https%3A%2F%2Fwww.webofscience.com%2Fwos%2Fwoscc%2Ffull-record%2FWOS:000406435900014","View Full Record in Web of Science")</f>
        <v>View Full Record in Web of Science</v>
      </c>
      <c r="BW160" s="11" t="s">
        <v>491</v>
      </c>
      <c r="BX160" s="7" t="s">
        <v>3743</v>
      </c>
      <c r="CA160" s="7" t="s">
        <v>3113</v>
      </c>
      <c r="CB160" s="10" t="s">
        <v>1802</v>
      </c>
      <c r="CC160" s="10" t="s">
        <v>2084</v>
      </c>
      <c r="CD160" s="10" t="s">
        <v>622</v>
      </c>
      <c r="CE160" s="10" t="s">
        <v>554</v>
      </c>
      <c r="CF160" s="7" t="s">
        <v>241</v>
      </c>
    </row>
    <row r="161" spans="1:85" ht="178.5">
      <c r="A161" t="s">
        <v>83</v>
      </c>
      <c r="B161" t="s">
        <v>3744</v>
      </c>
      <c r="C161" t="s">
        <v>85</v>
      </c>
      <c r="D161" t="s">
        <v>85</v>
      </c>
      <c r="E161" t="s">
        <v>85</v>
      </c>
      <c r="F161" t="s">
        <v>3745</v>
      </c>
      <c r="G161" t="s">
        <v>85</v>
      </c>
      <c r="H161" t="s">
        <v>85</v>
      </c>
      <c r="I161" s="5" t="s">
        <v>3746</v>
      </c>
      <c r="J161" t="s">
        <v>312</v>
      </c>
      <c r="K161" t="s">
        <v>85</v>
      </c>
      <c r="L161" t="s">
        <v>85</v>
      </c>
      <c r="M161" t="s">
        <v>89</v>
      </c>
      <c r="N161" t="s">
        <v>90</v>
      </c>
      <c r="O161" t="s">
        <v>85</v>
      </c>
      <c r="P161" t="s">
        <v>85</v>
      </c>
      <c r="Q161" t="s">
        <v>85</v>
      </c>
      <c r="R161" t="s">
        <v>85</v>
      </c>
      <c r="S161" t="s">
        <v>85</v>
      </c>
      <c r="T161" t="s">
        <v>3747</v>
      </c>
      <c r="U161" t="s">
        <v>3748</v>
      </c>
      <c r="V161" s="9" t="s">
        <v>3749</v>
      </c>
      <c r="W161" t="s">
        <v>3750</v>
      </c>
      <c r="X161" t="s">
        <v>3751</v>
      </c>
      <c r="Y161" t="s">
        <v>3752</v>
      </c>
      <c r="Z161" t="s">
        <v>3753</v>
      </c>
      <c r="AA161" t="s">
        <v>3754</v>
      </c>
      <c r="AB161" t="s">
        <v>3755</v>
      </c>
      <c r="AC161" t="s">
        <v>3756</v>
      </c>
      <c r="AD161" t="s">
        <v>3757</v>
      </c>
      <c r="AE161" t="s">
        <v>3758</v>
      </c>
      <c r="AF161" t="s">
        <v>85</v>
      </c>
      <c r="AG161">
        <v>140</v>
      </c>
      <c r="AH161">
        <v>28</v>
      </c>
      <c r="AI161">
        <v>28</v>
      </c>
      <c r="AJ161">
        <v>1</v>
      </c>
      <c r="AK161">
        <v>58</v>
      </c>
      <c r="AL161" t="s">
        <v>193</v>
      </c>
      <c r="AM161" t="s">
        <v>194</v>
      </c>
      <c r="AN161" t="s">
        <v>195</v>
      </c>
      <c r="AO161" t="s">
        <v>325</v>
      </c>
      <c r="AP161" t="s">
        <v>326</v>
      </c>
      <c r="AQ161" t="s">
        <v>85</v>
      </c>
      <c r="AR161" t="s">
        <v>327</v>
      </c>
      <c r="AS161" t="s">
        <v>328</v>
      </c>
      <c r="AT161" t="s">
        <v>252</v>
      </c>
      <c r="AU161" s="6">
        <v>2017</v>
      </c>
      <c r="AV161">
        <v>162</v>
      </c>
      <c r="AW161" t="s">
        <v>85</v>
      </c>
      <c r="AX161" t="s">
        <v>85</v>
      </c>
      <c r="AY161" t="s">
        <v>85</v>
      </c>
      <c r="AZ161" t="s">
        <v>85</v>
      </c>
      <c r="BA161" t="s">
        <v>85</v>
      </c>
      <c r="BB161">
        <v>1</v>
      </c>
      <c r="BC161">
        <v>12</v>
      </c>
      <c r="BD161" t="s">
        <v>85</v>
      </c>
      <c r="BE161" t="s">
        <v>3759</v>
      </c>
      <c r="BF161" t="str">
        <f>HYPERLINK("http://dx.doi.org/10.1016/j.landurbplan.2017.01.012","http://dx.doi.org/10.1016/j.landurbplan.2017.01.012")</f>
        <v>http://dx.doi.org/10.1016/j.landurbplan.2017.01.012</v>
      </c>
      <c r="BG161" t="s">
        <v>85</v>
      </c>
      <c r="BH161" t="s">
        <v>85</v>
      </c>
      <c r="BI161">
        <v>12</v>
      </c>
      <c r="BJ161" s="6" t="s">
        <v>331</v>
      </c>
      <c r="BK161" t="s">
        <v>171</v>
      </c>
      <c r="BL161" t="s">
        <v>332</v>
      </c>
      <c r="BM161" t="s">
        <v>3760</v>
      </c>
      <c r="BN161" t="s">
        <v>85</v>
      </c>
      <c r="BO161" t="s">
        <v>85</v>
      </c>
      <c r="BP161" t="s">
        <v>85</v>
      </c>
      <c r="BQ161" t="s">
        <v>85</v>
      </c>
      <c r="BR161" t="s">
        <v>116</v>
      </c>
      <c r="BS161" t="s">
        <v>3761</v>
      </c>
      <c r="BT161" t="str">
        <f>HYPERLINK("https%3A%2F%2Fwww.webofscience.com%2Fwos%2Fwoscc%2Ffull-record%2FWOS:000399627800001","View Full Record in Web of Science")</f>
        <v>View Full Record in Web of Science</v>
      </c>
      <c r="BW161" s="11" t="s">
        <v>149</v>
      </c>
      <c r="BX161" s="7" t="s">
        <v>3762</v>
      </c>
      <c r="CA161" s="7" t="s">
        <v>3113</v>
      </c>
      <c r="CB161" s="10" t="s">
        <v>1802</v>
      </c>
      <c r="CC161" s="10" t="s">
        <v>2084</v>
      </c>
      <c r="CD161" s="10" t="s">
        <v>622</v>
      </c>
      <c r="CE161" s="10" t="s">
        <v>554</v>
      </c>
      <c r="CF161" s="7" t="s">
        <v>3763</v>
      </c>
    </row>
    <row r="162" spans="1:85" ht="195">
      <c r="A162" t="s">
        <v>83</v>
      </c>
      <c r="B162" t="s">
        <v>3764</v>
      </c>
      <c r="C162" t="s">
        <v>85</v>
      </c>
      <c r="D162" t="s">
        <v>85</v>
      </c>
      <c r="E162" t="s">
        <v>85</v>
      </c>
      <c r="F162" t="s">
        <v>3765</v>
      </c>
      <c r="G162" t="s">
        <v>85</v>
      </c>
      <c r="H162" t="s">
        <v>85</v>
      </c>
      <c r="I162" s="5" t="s">
        <v>3766</v>
      </c>
      <c r="J162" t="s">
        <v>1319</v>
      </c>
      <c r="K162" t="s">
        <v>85</v>
      </c>
      <c r="L162" t="s">
        <v>85</v>
      </c>
      <c r="M162" t="s">
        <v>89</v>
      </c>
      <c r="N162" t="s">
        <v>90</v>
      </c>
      <c r="O162" t="s">
        <v>85</v>
      </c>
      <c r="P162" t="s">
        <v>85</v>
      </c>
      <c r="Q162" t="s">
        <v>85</v>
      </c>
      <c r="R162" t="s">
        <v>85</v>
      </c>
      <c r="S162" t="s">
        <v>85</v>
      </c>
      <c r="T162" t="s">
        <v>3767</v>
      </c>
      <c r="U162" t="s">
        <v>3768</v>
      </c>
      <c r="V162" s="5" t="s">
        <v>3769</v>
      </c>
      <c r="W162" t="s">
        <v>3770</v>
      </c>
      <c r="X162" t="s">
        <v>3771</v>
      </c>
      <c r="Y162" t="s">
        <v>3772</v>
      </c>
      <c r="Z162" t="s">
        <v>3773</v>
      </c>
      <c r="AA162" t="s">
        <v>85</v>
      </c>
      <c r="AB162" t="s">
        <v>3774</v>
      </c>
      <c r="AC162" t="s">
        <v>3775</v>
      </c>
      <c r="AD162" t="s">
        <v>3776</v>
      </c>
      <c r="AE162" t="s">
        <v>3777</v>
      </c>
      <c r="AF162" t="s">
        <v>85</v>
      </c>
      <c r="AG162">
        <v>58</v>
      </c>
      <c r="AH162">
        <v>26</v>
      </c>
      <c r="AI162">
        <v>26</v>
      </c>
      <c r="AJ162">
        <v>3</v>
      </c>
      <c r="AK162">
        <v>57</v>
      </c>
      <c r="AL162" t="s">
        <v>680</v>
      </c>
      <c r="AM162" t="s">
        <v>102</v>
      </c>
      <c r="AN162" t="s">
        <v>681</v>
      </c>
      <c r="AO162" t="s">
        <v>1332</v>
      </c>
      <c r="AP162" t="s">
        <v>1333</v>
      </c>
      <c r="AQ162" t="s">
        <v>85</v>
      </c>
      <c r="AR162" t="s">
        <v>1334</v>
      </c>
      <c r="AS162" t="s">
        <v>1335</v>
      </c>
      <c r="AT162" t="s">
        <v>568</v>
      </c>
      <c r="AU162" s="6">
        <v>2017</v>
      </c>
      <c r="AV162">
        <v>79</v>
      </c>
      <c r="AW162" t="s">
        <v>85</v>
      </c>
      <c r="AX162" t="s">
        <v>85</v>
      </c>
      <c r="AY162" t="s">
        <v>85</v>
      </c>
      <c r="AZ162" t="s">
        <v>85</v>
      </c>
      <c r="BA162" t="s">
        <v>85</v>
      </c>
      <c r="BB162">
        <v>93</v>
      </c>
      <c r="BC162">
        <v>102</v>
      </c>
      <c r="BD162" t="s">
        <v>85</v>
      </c>
      <c r="BE162" t="s">
        <v>3778</v>
      </c>
      <c r="BF162" t="str">
        <f>HYPERLINK("http://dx.doi.org/10.1016/j.apgeog.2016.12.006","http://dx.doi.org/10.1016/j.apgeog.2016.12.006")</f>
        <v>http://dx.doi.org/10.1016/j.apgeog.2016.12.006</v>
      </c>
      <c r="BG162" t="s">
        <v>85</v>
      </c>
      <c r="BH162" t="s">
        <v>85</v>
      </c>
      <c r="BI162">
        <v>10</v>
      </c>
      <c r="BJ162" s="6" t="s">
        <v>1338</v>
      </c>
      <c r="BK162" t="s">
        <v>146</v>
      </c>
      <c r="BL162" t="s">
        <v>1338</v>
      </c>
      <c r="BM162" t="s">
        <v>3779</v>
      </c>
      <c r="BN162" t="s">
        <v>85</v>
      </c>
      <c r="BO162" t="s">
        <v>85</v>
      </c>
      <c r="BP162" t="s">
        <v>85</v>
      </c>
      <c r="BQ162" t="s">
        <v>85</v>
      </c>
      <c r="BR162" t="s">
        <v>116</v>
      </c>
      <c r="BS162" t="s">
        <v>3780</v>
      </c>
      <c r="BT162" t="str">
        <f>HYPERLINK("https%3A%2F%2Fwww.webofscience.com%2Fwos%2Fwoscc%2Ffull-record%2FWOS:000395353300008","View Full Record in Web of Science")</f>
        <v>View Full Record in Web of Science</v>
      </c>
      <c r="BW162" s="11" t="s">
        <v>149</v>
      </c>
      <c r="BX162" s="7" t="s">
        <v>3781</v>
      </c>
      <c r="BY162" s="7" t="s">
        <v>3782</v>
      </c>
      <c r="CA162" s="7" t="s">
        <v>3783</v>
      </c>
      <c r="CB162" s="10" t="s">
        <v>1802</v>
      </c>
      <c r="CC162" s="10" t="s">
        <v>2084</v>
      </c>
      <c r="CD162" s="10" t="s">
        <v>622</v>
      </c>
      <c r="CE162" s="10" t="s">
        <v>2665</v>
      </c>
      <c r="CF162" s="7" t="s">
        <v>3658</v>
      </c>
    </row>
    <row r="163" spans="1:85" ht="195">
      <c r="A163" t="s">
        <v>83</v>
      </c>
      <c r="B163" t="s">
        <v>3784</v>
      </c>
      <c r="C163" t="s">
        <v>85</v>
      </c>
      <c r="D163" t="s">
        <v>85</v>
      </c>
      <c r="E163" t="s">
        <v>85</v>
      </c>
      <c r="F163" t="s">
        <v>3785</v>
      </c>
      <c r="G163" t="s">
        <v>85</v>
      </c>
      <c r="H163" t="s">
        <v>85</v>
      </c>
      <c r="I163" s="5" t="s">
        <v>3786</v>
      </c>
      <c r="J163" t="s">
        <v>3787</v>
      </c>
      <c r="K163" t="s">
        <v>85</v>
      </c>
      <c r="L163" t="s">
        <v>85</v>
      </c>
      <c r="M163" t="s">
        <v>89</v>
      </c>
      <c r="N163" t="s">
        <v>90</v>
      </c>
      <c r="O163" t="s">
        <v>85</v>
      </c>
      <c r="P163" t="s">
        <v>85</v>
      </c>
      <c r="Q163" t="s">
        <v>85</v>
      </c>
      <c r="R163" t="s">
        <v>85</v>
      </c>
      <c r="S163" t="s">
        <v>85</v>
      </c>
      <c r="T163" t="s">
        <v>3788</v>
      </c>
      <c r="U163" t="s">
        <v>3789</v>
      </c>
      <c r="V163" s="5" t="s">
        <v>3790</v>
      </c>
      <c r="W163" t="s">
        <v>3791</v>
      </c>
      <c r="X163" t="s">
        <v>3792</v>
      </c>
      <c r="Y163" t="s">
        <v>3793</v>
      </c>
      <c r="Z163" t="s">
        <v>3794</v>
      </c>
      <c r="AA163" t="s">
        <v>3795</v>
      </c>
      <c r="AB163" t="s">
        <v>3796</v>
      </c>
      <c r="AC163" t="s">
        <v>3797</v>
      </c>
      <c r="AD163" t="s">
        <v>3798</v>
      </c>
      <c r="AE163" t="s">
        <v>3799</v>
      </c>
      <c r="AF163" t="s">
        <v>85</v>
      </c>
      <c r="AG163">
        <v>44</v>
      </c>
      <c r="AH163">
        <v>8</v>
      </c>
      <c r="AI163">
        <v>8</v>
      </c>
      <c r="AJ163">
        <v>1</v>
      </c>
      <c r="AK163">
        <v>51</v>
      </c>
      <c r="AL163" t="s">
        <v>3800</v>
      </c>
      <c r="AM163" t="s">
        <v>854</v>
      </c>
      <c r="AN163" t="s">
        <v>3801</v>
      </c>
      <c r="AO163" t="s">
        <v>3802</v>
      </c>
      <c r="AP163" t="s">
        <v>3803</v>
      </c>
      <c r="AQ163" t="s">
        <v>85</v>
      </c>
      <c r="AR163" t="s">
        <v>3804</v>
      </c>
      <c r="AS163" t="s">
        <v>3805</v>
      </c>
      <c r="AT163" t="s">
        <v>85</v>
      </c>
      <c r="AU163" s="6">
        <v>2017</v>
      </c>
      <c r="AV163">
        <v>24</v>
      </c>
      <c r="AW163">
        <v>1</v>
      </c>
      <c r="AX163" t="s">
        <v>85</v>
      </c>
      <c r="AY163" t="s">
        <v>85</v>
      </c>
      <c r="AZ163" t="s">
        <v>85</v>
      </c>
      <c r="BA163" t="s">
        <v>85</v>
      </c>
      <c r="BB163">
        <v>64</v>
      </c>
      <c r="BC163">
        <v>80</v>
      </c>
      <c r="BD163" t="s">
        <v>85</v>
      </c>
      <c r="BE163" t="s">
        <v>3806</v>
      </c>
      <c r="BF163" t="str">
        <f>HYPERLINK("http://dx.doi.org/10.1080/14486563.2016.1277559","http://dx.doi.org/10.1080/14486563.2016.1277559")</f>
        <v>http://dx.doi.org/10.1080/14486563.2016.1277559</v>
      </c>
      <c r="BG163" t="s">
        <v>85</v>
      </c>
      <c r="BH163" t="s">
        <v>85</v>
      </c>
      <c r="BI163">
        <v>17</v>
      </c>
      <c r="BJ163" s="6" t="s">
        <v>145</v>
      </c>
      <c r="BK163" t="s">
        <v>146</v>
      </c>
      <c r="BL163" t="s">
        <v>113</v>
      </c>
      <c r="BM163" t="s">
        <v>3807</v>
      </c>
      <c r="BN163" t="s">
        <v>85</v>
      </c>
      <c r="BO163" t="s">
        <v>85</v>
      </c>
      <c r="BP163" t="s">
        <v>85</v>
      </c>
      <c r="BQ163" t="s">
        <v>85</v>
      </c>
      <c r="BR163" t="s">
        <v>116</v>
      </c>
      <c r="BS163" t="s">
        <v>3808</v>
      </c>
      <c r="BT163" t="str">
        <f>HYPERLINK("https%3A%2F%2Fwww.webofscience.com%2Fwos%2Fwoscc%2Ffull-record%2FWOS:000396670600006","View Full Record in Web of Science")</f>
        <v>View Full Record in Web of Science</v>
      </c>
      <c r="BW163" s="11" t="s">
        <v>491</v>
      </c>
      <c r="BX163" s="7" t="s">
        <v>3809</v>
      </c>
      <c r="CA163" s="7" t="s">
        <v>1123</v>
      </c>
      <c r="CB163" s="10" t="s">
        <v>1802</v>
      </c>
      <c r="CC163" s="10" t="s">
        <v>2084</v>
      </c>
      <c r="CD163" s="10" t="s">
        <v>1861</v>
      </c>
      <c r="CE163" s="10" t="s">
        <v>3810</v>
      </c>
      <c r="CF163" s="7" t="s">
        <v>409</v>
      </c>
    </row>
    <row r="164" spans="1:85" ht="135">
      <c r="A164" t="s">
        <v>83</v>
      </c>
      <c r="B164" t="s">
        <v>3811</v>
      </c>
      <c r="C164" t="s">
        <v>85</v>
      </c>
      <c r="D164" t="s">
        <v>85</v>
      </c>
      <c r="E164" t="s">
        <v>85</v>
      </c>
      <c r="F164" t="s">
        <v>3812</v>
      </c>
      <c r="G164" t="s">
        <v>85</v>
      </c>
      <c r="H164" t="s">
        <v>85</v>
      </c>
      <c r="I164" s="5" t="s">
        <v>3813</v>
      </c>
      <c r="J164" t="s">
        <v>3814</v>
      </c>
      <c r="K164" t="s">
        <v>85</v>
      </c>
      <c r="L164" t="s">
        <v>85</v>
      </c>
      <c r="M164" t="s">
        <v>89</v>
      </c>
      <c r="N164" t="s">
        <v>90</v>
      </c>
      <c r="O164" t="s">
        <v>85</v>
      </c>
      <c r="P164" t="s">
        <v>85</v>
      </c>
      <c r="Q164" t="s">
        <v>85</v>
      </c>
      <c r="R164" t="s">
        <v>85</v>
      </c>
      <c r="S164" t="s">
        <v>85</v>
      </c>
      <c r="T164" t="s">
        <v>3815</v>
      </c>
      <c r="U164" t="s">
        <v>3816</v>
      </c>
      <c r="V164" s="5" t="s">
        <v>3817</v>
      </c>
      <c r="W164" t="s">
        <v>3818</v>
      </c>
      <c r="X164" t="s">
        <v>3819</v>
      </c>
      <c r="Y164" t="s">
        <v>3820</v>
      </c>
      <c r="Z164" t="s">
        <v>3821</v>
      </c>
      <c r="AA164" t="s">
        <v>3822</v>
      </c>
      <c r="AB164" t="s">
        <v>3823</v>
      </c>
      <c r="AC164" t="s">
        <v>3824</v>
      </c>
      <c r="AD164" t="s">
        <v>3824</v>
      </c>
      <c r="AE164" t="s">
        <v>3825</v>
      </c>
      <c r="AF164" t="s">
        <v>85</v>
      </c>
      <c r="AG164">
        <v>59</v>
      </c>
      <c r="AH164">
        <v>20</v>
      </c>
      <c r="AI164">
        <v>20</v>
      </c>
      <c r="AJ164">
        <v>4</v>
      </c>
      <c r="AK164">
        <v>45</v>
      </c>
      <c r="AL164" t="s">
        <v>853</v>
      </c>
      <c r="AM164" t="s">
        <v>854</v>
      </c>
      <c r="AN164" t="s">
        <v>855</v>
      </c>
      <c r="AO164" t="s">
        <v>3826</v>
      </c>
      <c r="AP164" t="s">
        <v>3827</v>
      </c>
      <c r="AQ164" t="s">
        <v>85</v>
      </c>
      <c r="AR164" t="s">
        <v>3828</v>
      </c>
      <c r="AS164" t="s">
        <v>3829</v>
      </c>
      <c r="AT164" t="s">
        <v>544</v>
      </c>
      <c r="AU164" s="6">
        <v>2017</v>
      </c>
      <c r="AV164">
        <v>42</v>
      </c>
      <c r="AW164">
        <v>1</v>
      </c>
      <c r="AX164" t="s">
        <v>85</v>
      </c>
      <c r="AY164" t="s">
        <v>85</v>
      </c>
      <c r="AZ164" t="s">
        <v>85</v>
      </c>
      <c r="BA164" t="s">
        <v>85</v>
      </c>
      <c r="BB164">
        <v>18</v>
      </c>
      <c r="BC164">
        <v>32</v>
      </c>
      <c r="BD164" t="s">
        <v>85</v>
      </c>
      <c r="BE164" t="s">
        <v>3830</v>
      </c>
      <c r="BF164" t="str">
        <f>HYPERLINK("http://dx.doi.org/10.1080/01426397.2016.1243236","http://dx.doi.org/10.1080/01426397.2016.1243236")</f>
        <v>http://dx.doi.org/10.1080/01426397.2016.1243236</v>
      </c>
      <c r="BG164" t="s">
        <v>85</v>
      </c>
      <c r="BH164" t="s">
        <v>85</v>
      </c>
      <c r="BI164">
        <v>15</v>
      </c>
      <c r="BJ164" s="6" t="s">
        <v>3576</v>
      </c>
      <c r="BK164" t="s">
        <v>146</v>
      </c>
      <c r="BL164" t="s">
        <v>3384</v>
      </c>
      <c r="BM164" t="s">
        <v>3831</v>
      </c>
      <c r="BN164" t="s">
        <v>85</v>
      </c>
      <c r="BO164" t="s">
        <v>1797</v>
      </c>
      <c r="BP164" t="s">
        <v>85</v>
      </c>
      <c r="BQ164" t="s">
        <v>85</v>
      </c>
      <c r="BR164" t="s">
        <v>116</v>
      </c>
      <c r="BS164" t="s">
        <v>3832</v>
      </c>
      <c r="BT164" t="str">
        <f>HYPERLINK("https%3A%2F%2Fwww.webofscience.com%2Fwos%2Fwoscc%2Ffull-record%2FWOS:000390877600003","View Full Record in Web of Science")</f>
        <v>View Full Record in Web of Science</v>
      </c>
      <c r="BW164" s="11" t="s">
        <v>149</v>
      </c>
      <c r="BX164" s="7" t="s">
        <v>3833</v>
      </c>
      <c r="CA164" s="7" t="s">
        <v>3834</v>
      </c>
      <c r="CB164" s="10" t="s">
        <v>1802</v>
      </c>
      <c r="CC164" s="10" t="s">
        <v>2084</v>
      </c>
      <c r="CD164" s="10" t="s">
        <v>3835</v>
      </c>
      <c r="CE164" s="10" t="s">
        <v>554</v>
      </c>
      <c r="CF164" s="7" t="s">
        <v>369</v>
      </c>
    </row>
    <row r="165" spans="1:85" ht="120">
      <c r="A165" t="s">
        <v>83</v>
      </c>
      <c r="B165" t="s">
        <v>3836</v>
      </c>
      <c r="C165" t="s">
        <v>85</v>
      </c>
      <c r="D165" t="s">
        <v>85</v>
      </c>
      <c r="E165" t="s">
        <v>85</v>
      </c>
      <c r="F165" t="s">
        <v>3837</v>
      </c>
      <c r="G165" t="s">
        <v>85</v>
      </c>
      <c r="H165" t="s">
        <v>85</v>
      </c>
      <c r="I165" s="5" t="s">
        <v>3838</v>
      </c>
      <c r="J165" t="s">
        <v>3839</v>
      </c>
      <c r="K165" t="s">
        <v>85</v>
      </c>
      <c r="L165" t="s">
        <v>85</v>
      </c>
      <c r="M165" t="s">
        <v>89</v>
      </c>
      <c r="N165" t="s">
        <v>90</v>
      </c>
      <c r="O165" t="s">
        <v>85</v>
      </c>
      <c r="P165" t="s">
        <v>85</v>
      </c>
      <c r="Q165" t="s">
        <v>85</v>
      </c>
      <c r="R165" t="s">
        <v>85</v>
      </c>
      <c r="S165" t="s">
        <v>85</v>
      </c>
      <c r="T165" t="s">
        <v>3840</v>
      </c>
      <c r="U165" t="s">
        <v>3841</v>
      </c>
      <c r="V165" s="5" t="s">
        <v>3842</v>
      </c>
      <c r="W165" t="s">
        <v>3843</v>
      </c>
      <c r="X165" t="s">
        <v>3844</v>
      </c>
      <c r="Y165" t="s">
        <v>3845</v>
      </c>
      <c r="Z165" t="s">
        <v>3846</v>
      </c>
      <c r="AA165" t="s">
        <v>85</v>
      </c>
      <c r="AB165" t="s">
        <v>3847</v>
      </c>
      <c r="AC165" t="s">
        <v>85</v>
      </c>
      <c r="AD165" t="s">
        <v>85</v>
      </c>
      <c r="AE165" t="s">
        <v>85</v>
      </c>
      <c r="AF165" t="s">
        <v>85</v>
      </c>
      <c r="AG165">
        <v>91</v>
      </c>
      <c r="AH165">
        <v>15</v>
      </c>
      <c r="AI165">
        <v>16</v>
      </c>
      <c r="AJ165">
        <v>1</v>
      </c>
      <c r="AK165">
        <v>22</v>
      </c>
      <c r="AL165" t="s">
        <v>352</v>
      </c>
      <c r="AM165" t="s">
        <v>353</v>
      </c>
      <c r="AN165" t="s">
        <v>354</v>
      </c>
      <c r="AO165" t="s">
        <v>3848</v>
      </c>
      <c r="AP165" t="s">
        <v>3849</v>
      </c>
      <c r="AQ165" t="s">
        <v>85</v>
      </c>
      <c r="AR165" t="s">
        <v>3850</v>
      </c>
      <c r="AS165" t="s">
        <v>3851</v>
      </c>
      <c r="AT165" t="s">
        <v>252</v>
      </c>
      <c r="AU165" s="6">
        <v>2016</v>
      </c>
      <c r="AV165">
        <v>8</v>
      </c>
      <c r="AW165">
        <v>2</v>
      </c>
      <c r="AX165" t="s">
        <v>85</v>
      </c>
      <c r="AY165" t="s">
        <v>85</v>
      </c>
      <c r="AZ165" t="s">
        <v>85</v>
      </c>
      <c r="BA165" t="s">
        <v>85</v>
      </c>
      <c r="BB165">
        <v>137</v>
      </c>
      <c r="BC165">
        <v>153</v>
      </c>
      <c r="BD165" t="s">
        <v>85</v>
      </c>
      <c r="BE165" t="s">
        <v>3852</v>
      </c>
      <c r="BF165" t="str">
        <f>HYPERLINK("http://dx.doi.org/10.1111/jftr.12138","http://dx.doi.org/10.1111/jftr.12138")</f>
        <v>http://dx.doi.org/10.1111/jftr.12138</v>
      </c>
      <c r="BG165" t="s">
        <v>85</v>
      </c>
      <c r="BH165" t="s">
        <v>85</v>
      </c>
      <c r="BI165">
        <v>17</v>
      </c>
      <c r="BJ165" s="6" t="s">
        <v>3853</v>
      </c>
      <c r="BK165" t="s">
        <v>146</v>
      </c>
      <c r="BL165" t="s">
        <v>3853</v>
      </c>
      <c r="BM165" t="s">
        <v>3854</v>
      </c>
      <c r="BN165" t="s">
        <v>85</v>
      </c>
      <c r="BO165" t="s">
        <v>85</v>
      </c>
      <c r="BP165" t="s">
        <v>85</v>
      </c>
      <c r="BQ165" t="s">
        <v>85</v>
      </c>
      <c r="BR165" t="s">
        <v>116</v>
      </c>
      <c r="BS165" t="s">
        <v>3855</v>
      </c>
      <c r="BT165" t="str">
        <f>HYPERLINK("https%3A%2F%2Fwww.webofscience.com%2Fwos%2Fwoscc%2Ffull-record%2FWOS:000388948700001","View Full Record in Web of Science")</f>
        <v>View Full Record in Web of Science</v>
      </c>
      <c r="BW165" s="11" t="s">
        <v>491</v>
      </c>
      <c r="BX165" s="7" t="s">
        <v>3856</v>
      </c>
      <c r="CA165" s="7" t="s">
        <v>1861</v>
      </c>
      <c r="CB165" s="10" t="s">
        <v>1802</v>
      </c>
      <c r="CC165" s="10" t="s">
        <v>2084</v>
      </c>
      <c r="CD165" s="10" t="s">
        <v>3857</v>
      </c>
      <c r="CF165" s="7" t="s">
        <v>3704</v>
      </c>
    </row>
    <row r="166" spans="1:85" ht="135">
      <c r="A166" t="s">
        <v>83</v>
      </c>
      <c r="B166" t="s">
        <v>3858</v>
      </c>
      <c r="C166" t="s">
        <v>85</v>
      </c>
      <c r="D166" t="s">
        <v>85</v>
      </c>
      <c r="E166" t="s">
        <v>85</v>
      </c>
      <c r="F166" t="s">
        <v>3859</v>
      </c>
      <c r="G166" t="s">
        <v>85</v>
      </c>
      <c r="H166" t="s">
        <v>85</v>
      </c>
      <c r="I166" s="5" t="s">
        <v>3860</v>
      </c>
      <c r="J166" t="s">
        <v>1561</v>
      </c>
      <c r="K166" t="s">
        <v>85</v>
      </c>
      <c r="L166" t="s">
        <v>85</v>
      </c>
      <c r="M166" t="s">
        <v>89</v>
      </c>
      <c r="N166" t="s">
        <v>90</v>
      </c>
      <c r="O166" t="s">
        <v>85</v>
      </c>
      <c r="P166" t="s">
        <v>85</v>
      </c>
      <c r="Q166" t="s">
        <v>85</v>
      </c>
      <c r="R166" t="s">
        <v>85</v>
      </c>
      <c r="S166" t="s">
        <v>85</v>
      </c>
      <c r="T166" t="s">
        <v>3861</v>
      </c>
      <c r="U166" t="s">
        <v>3862</v>
      </c>
      <c r="V166" s="5" t="s">
        <v>3863</v>
      </c>
      <c r="W166" t="s">
        <v>3864</v>
      </c>
      <c r="X166" t="s">
        <v>3865</v>
      </c>
      <c r="Y166" t="s">
        <v>3866</v>
      </c>
      <c r="Z166" t="s">
        <v>3867</v>
      </c>
      <c r="AA166" t="s">
        <v>85</v>
      </c>
      <c r="AB166" t="s">
        <v>3868</v>
      </c>
      <c r="AC166" t="s">
        <v>2340</v>
      </c>
      <c r="AD166" t="s">
        <v>2340</v>
      </c>
      <c r="AE166" t="s">
        <v>3869</v>
      </c>
      <c r="AF166" t="s">
        <v>85</v>
      </c>
      <c r="AG166">
        <v>54</v>
      </c>
      <c r="AH166">
        <v>197</v>
      </c>
      <c r="AI166">
        <v>206</v>
      </c>
      <c r="AJ166">
        <v>17</v>
      </c>
      <c r="AK166">
        <v>201</v>
      </c>
      <c r="AL166" t="s">
        <v>680</v>
      </c>
      <c r="AM166" t="s">
        <v>102</v>
      </c>
      <c r="AN166" t="s">
        <v>681</v>
      </c>
      <c r="AO166" t="s">
        <v>1571</v>
      </c>
      <c r="AP166" t="s">
        <v>1572</v>
      </c>
      <c r="AQ166" t="s">
        <v>85</v>
      </c>
      <c r="AR166" t="s">
        <v>1573</v>
      </c>
      <c r="AS166" t="s">
        <v>1574</v>
      </c>
      <c r="AT166" t="s">
        <v>1399</v>
      </c>
      <c r="AU166" s="6">
        <v>2016</v>
      </c>
      <c r="AV166">
        <v>39</v>
      </c>
      <c r="AW166" t="s">
        <v>85</v>
      </c>
      <c r="AX166" t="s">
        <v>85</v>
      </c>
      <c r="AY166" t="s">
        <v>85</v>
      </c>
      <c r="AZ166" t="s">
        <v>85</v>
      </c>
      <c r="BA166" t="s">
        <v>85</v>
      </c>
      <c r="BB166">
        <v>70</v>
      </c>
      <c r="BC166">
        <v>78</v>
      </c>
      <c r="BD166" t="s">
        <v>85</v>
      </c>
      <c r="BE166" t="s">
        <v>3870</v>
      </c>
      <c r="BF166" t="str">
        <f>HYPERLINK("http://dx.doi.org/10.1016/j.healthplace.2016.03.002","http://dx.doi.org/10.1016/j.healthplace.2016.03.002")</f>
        <v>http://dx.doi.org/10.1016/j.healthplace.2016.03.002</v>
      </c>
      <c r="BG166" t="s">
        <v>85</v>
      </c>
      <c r="BH166" t="s">
        <v>85</v>
      </c>
      <c r="BI166">
        <v>9</v>
      </c>
      <c r="BJ166" s="6" t="s">
        <v>616</v>
      </c>
      <c r="BK166" t="s">
        <v>171</v>
      </c>
      <c r="BL166" t="s">
        <v>616</v>
      </c>
      <c r="BM166" t="s">
        <v>3871</v>
      </c>
      <c r="BN166">
        <v>26974233</v>
      </c>
      <c r="BO166" t="s">
        <v>85</v>
      </c>
      <c r="BP166" t="s">
        <v>1552</v>
      </c>
      <c r="BQ166" t="s">
        <v>1553</v>
      </c>
      <c r="BR166" t="s">
        <v>116</v>
      </c>
      <c r="BS166" t="s">
        <v>3872</v>
      </c>
      <c r="BT166" t="str">
        <f>HYPERLINK("https%3A%2F%2Fwww.webofscience.com%2Fwos%2Fwoscc%2Ffull-record%2FWOS:000376515600009","View Full Record in Web of Science")</f>
        <v>View Full Record in Web of Science</v>
      </c>
      <c r="BW166" s="11" t="s">
        <v>491</v>
      </c>
      <c r="BX166" s="7" t="s">
        <v>3873</v>
      </c>
      <c r="CA166" s="7" t="s">
        <v>3874</v>
      </c>
      <c r="CB166" s="10" t="s">
        <v>1802</v>
      </c>
      <c r="CC166" s="10" t="s">
        <v>2084</v>
      </c>
      <c r="CD166" s="7" t="s">
        <v>3835</v>
      </c>
      <c r="CE166" s="10" t="s">
        <v>554</v>
      </c>
      <c r="CF166" s="7" t="s">
        <v>2354</v>
      </c>
    </row>
    <row r="167" spans="1:85" ht="165">
      <c r="A167" t="s">
        <v>83</v>
      </c>
      <c r="B167" t="s">
        <v>3875</v>
      </c>
      <c r="C167" t="s">
        <v>85</v>
      </c>
      <c r="D167" t="s">
        <v>85</v>
      </c>
      <c r="E167" t="s">
        <v>85</v>
      </c>
      <c r="F167" t="s">
        <v>3876</v>
      </c>
      <c r="G167" t="s">
        <v>85</v>
      </c>
      <c r="H167" t="s">
        <v>85</v>
      </c>
      <c r="I167" s="5" t="s">
        <v>3877</v>
      </c>
      <c r="J167" t="s">
        <v>874</v>
      </c>
      <c r="K167" t="s">
        <v>85</v>
      </c>
      <c r="L167" t="s">
        <v>85</v>
      </c>
      <c r="M167" t="s">
        <v>89</v>
      </c>
      <c r="N167" t="s">
        <v>90</v>
      </c>
      <c r="O167" t="s">
        <v>85</v>
      </c>
      <c r="P167" t="s">
        <v>85</v>
      </c>
      <c r="Q167" t="s">
        <v>85</v>
      </c>
      <c r="R167" t="s">
        <v>85</v>
      </c>
      <c r="S167" t="s">
        <v>85</v>
      </c>
      <c r="T167" t="s">
        <v>3878</v>
      </c>
      <c r="U167" t="s">
        <v>3879</v>
      </c>
      <c r="V167" s="5" t="s">
        <v>3880</v>
      </c>
      <c r="W167" t="s">
        <v>3881</v>
      </c>
      <c r="X167" t="s">
        <v>3882</v>
      </c>
      <c r="Y167" t="s">
        <v>3883</v>
      </c>
      <c r="Z167" t="s">
        <v>3884</v>
      </c>
      <c r="AA167" t="s">
        <v>85</v>
      </c>
      <c r="AB167" t="s">
        <v>3885</v>
      </c>
      <c r="AC167" t="s">
        <v>85</v>
      </c>
      <c r="AD167" t="s">
        <v>85</v>
      </c>
      <c r="AE167" t="s">
        <v>85</v>
      </c>
      <c r="AF167" t="s">
        <v>85</v>
      </c>
      <c r="AG167">
        <v>60</v>
      </c>
      <c r="AH167">
        <v>16</v>
      </c>
      <c r="AI167">
        <v>16</v>
      </c>
      <c r="AJ167">
        <v>6</v>
      </c>
      <c r="AK167">
        <v>51</v>
      </c>
      <c r="AL167" t="s">
        <v>137</v>
      </c>
      <c r="AM167" t="s">
        <v>138</v>
      </c>
      <c r="AN167" t="s">
        <v>139</v>
      </c>
      <c r="AO167" t="s">
        <v>884</v>
      </c>
      <c r="AP167" t="s">
        <v>85</v>
      </c>
      <c r="AQ167" t="s">
        <v>85</v>
      </c>
      <c r="AR167" t="s">
        <v>885</v>
      </c>
      <c r="AS167" t="s">
        <v>886</v>
      </c>
      <c r="AT167" t="s">
        <v>513</v>
      </c>
      <c r="AU167" s="6">
        <v>2016</v>
      </c>
      <c r="AV167">
        <v>13</v>
      </c>
      <c r="AW167">
        <v>4</v>
      </c>
      <c r="AX167" t="s">
        <v>85</v>
      </c>
      <c r="AY167" t="s">
        <v>85</v>
      </c>
      <c r="AZ167" t="s">
        <v>85</v>
      </c>
      <c r="BA167" t="s">
        <v>85</v>
      </c>
      <c r="BB167" t="s">
        <v>85</v>
      </c>
      <c r="BC167" t="s">
        <v>85</v>
      </c>
      <c r="BD167">
        <v>439</v>
      </c>
      <c r="BE167" t="s">
        <v>3886</v>
      </c>
      <c r="BF167" t="str">
        <f>HYPERLINK("http://dx.doi.org/10.3390/ijerph13040439","http://dx.doi.org/10.3390/ijerph13040439")</f>
        <v>http://dx.doi.org/10.3390/ijerph13040439</v>
      </c>
      <c r="BG167" t="s">
        <v>85</v>
      </c>
      <c r="BH167" t="s">
        <v>85</v>
      </c>
      <c r="BI167">
        <v>21</v>
      </c>
      <c r="BJ167" s="6" t="s">
        <v>889</v>
      </c>
      <c r="BK167" t="s">
        <v>171</v>
      </c>
      <c r="BL167" t="s">
        <v>890</v>
      </c>
      <c r="BM167" t="s">
        <v>3887</v>
      </c>
      <c r="BN167">
        <v>27110802</v>
      </c>
      <c r="BO167" t="s">
        <v>236</v>
      </c>
      <c r="BP167" t="s">
        <v>85</v>
      </c>
      <c r="BQ167" t="s">
        <v>85</v>
      </c>
      <c r="BR167" t="s">
        <v>116</v>
      </c>
      <c r="BS167" t="s">
        <v>3888</v>
      </c>
      <c r="BT167" t="str">
        <f>HYPERLINK("https%3A%2F%2Fwww.webofscience.com%2Fwos%2Fwoscc%2Ffull-record%2FWOS:000375231300087","View Full Record in Web of Science")</f>
        <v>View Full Record in Web of Science</v>
      </c>
      <c r="BW167" s="11" t="s">
        <v>365</v>
      </c>
      <c r="BX167" s="7" t="s">
        <v>3889</v>
      </c>
      <c r="CA167" s="7" t="s">
        <v>3890</v>
      </c>
      <c r="CB167" s="10" t="s">
        <v>1802</v>
      </c>
      <c r="CC167" s="10" t="s">
        <v>2084</v>
      </c>
      <c r="CD167" s="7" t="s">
        <v>3835</v>
      </c>
      <c r="CE167" s="10" t="s">
        <v>554</v>
      </c>
      <c r="CF167" s="7" t="s">
        <v>816</v>
      </c>
    </row>
    <row r="168" spans="1:85" ht="195">
      <c r="A168" t="s">
        <v>83</v>
      </c>
      <c r="B168" t="s">
        <v>3891</v>
      </c>
      <c r="C168" t="s">
        <v>85</v>
      </c>
      <c r="D168" t="s">
        <v>85</v>
      </c>
      <c r="E168" t="s">
        <v>85</v>
      </c>
      <c r="F168" t="s">
        <v>3892</v>
      </c>
      <c r="G168" t="s">
        <v>85</v>
      </c>
      <c r="H168" t="s">
        <v>85</v>
      </c>
      <c r="I168" s="5" t="s">
        <v>3893</v>
      </c>
      <c r="J168" t="s">
        <v>312</v>
      </c>
      <c r="K168" t="s">
        <v>85</v>
      </c>
      <c r="L168" t="s">
        <v>85</v>
      </c>
      <c r="M168" t="s">
        <v>89</v>
      </c>
      <c r="N168" t="s">
        <v>90</v>
      </c>
      <c r="O168" t="s">
        <v>85</v>
      </c>
      <c r="P168" t="s">
        <v>85</v>
      </c>
      <c r="Q168" t="s">
        <v>85</v>
      </c>
      <c r="R168" t="s">
        <v>85</v>
      </c>
      <c r="S168" t="s">
        <v>85</v>
      </c>
      <c r="T168" t="s">
        <v>85</v>
      </c>
      <c r="U168" t="s">
        <v>3894</v>
      </c>
      <c r="V168" s="5" t="s">
        <v>3895</v>
      </c>
      <c r="W168" t="s">
        <v>3896</v>
      </c>
      <c r="X168" t="s">
        <v>3897</v>
      </c>
      <c r="Y168" t="s">
        <v>3898</v>
      </c>
      <c r="Z168" t="s">
        <v>3899</v>
      </c>
      <c r="AA168" t="s">
        <v>3900</v>
      </c>
      <c r="AB168" t="s">
        <v>3901</v>
      </c>
      <c r="AC168" t="s">
        <v>3902</v>
      </c>
      <c r="AD168" t="s">
        <v>3902</v>
      </c>
      <c r="AE168" t="s">
        <v>3903</v>
      </c>
      <c r="AF168" t="s">
        <v>85</v>
      </c>
      <c r="AG168">
        <v>101</v>
      </c>
      <c r="AH168">
        <v>95</v>
      </c>
      <c r="AI168">
        <v>96</v>
      </c>
      <c r="AJ168">
        <v>10</v>
      </c>
      <c r="AK168">
        <v>165</v>
      </c>
      <c r="AL168" t="s">
        <v>193</v>
      </c>
      <c r="AM168" t="s">
        <v>194</v>
      </c>
      <c r="AN168" t="s">
        <v>195</v>
      </c>
      <c r="AO168" t="s">
        <v>325</v>
      </c>
      <c r="AP168" t="s">
        <v>326</v>
      </c>
      <c r="AQ168" t="s">
        <v>85</v>
      </c>
      <c r="AR168" t="s">
        <v>327</v>
      </c>
      <c r="AS168" t="s">
        <v>328</v>
      </c>
      <c r="AT168" t="s">
        <v>513</v>
      </c>
      <c r="AU168" s="6">
        <v>2016</v>
      </c>
      <c r="AV168">
        <v>148</v>
      </c>
      <c r="AW168" t="s">
        <v>85</v>
      </c>
      <c r="AX168" t="s">
        <v>85</v>
      </c>
      <c r="AY168" t="s">
        <v>85</v>
      </c>
      <c r="AZ168" t="s">
        <v>85</v>
      </c>
      <c r="BA168" t="s">
        <v>85</v>
      </c>
      <c r="BB168">
        <v>139</v>
      </c>
      <c r="BC168">
        <v>148</v>
      </c>
      <c r="BD168" t="s">
        <v>85</v>
      </c>
      <c r="BE168" t="s">
        <v>3904</v>
      </c>
      <c r="BF168" t="str">
        <f>HYPERLINK("http://dx.doi.org/10.1016/j.landurbplan.2015.11.002","http://dx.doi.org/10.1016/j.landurbplan.2015.11.002")</f>
        <v>http://dx.doi.org/10.1016/j.landurbplan.2015.11.002</v>
      </c>
      <c r="BG168" t="s">
        <v>85</v>
      </c>
      <c r="BH168" t="s">
        <v>85</v>
      </c>
      <c r="BI168">
        <v>10</v>
      </c>
      <c r="BJ168" s="6" t="s">
        <v>331</v>
      </c>
      <c r="BK168" t="s">
        <v>171</v>
      </c>
      <c r="BL168" t="s">
        <v>332</v>
      </c>
      <c r="BM168" t="s">
        <v>3905</v>
      </c>
      <c r="BN168" t="s">
        <v>85</v>
      </c>
      <c r="BO168" t="s">
        <v>85</v>
      </c>
      <c r="BP168" t="s">
        <v>85</v>
      </c>
      <c r="BQ168" t="s">
        <v>85</v>
      </c>
      <c r="BR168" t="s">
        <v>116</v>
      </c>
      <c r="BS168" t="s">
        <v>3906</v>
      </c>
      <c r="BT168" t="str">
        <f>HYPERLINK("https%3A%2F%2Fwww.webofscience.com%2Fwos%2Fwoscc%2Ffull-record%2FWOS:000372683800014","View Full Record in Web of Science")</f>
        <v>View Full Record in Web of Science</v>
      </c>
      <c r="BW168" s="11" t="s">
        <v>149</v>
      </c>
      <c r="BX168" s="7" t="s">
        <v>3907</v>
      </c>
      <c r="CA168" s="7" t="s">
        <v>3908</v>
      </c>
      <c r="CB168" s="10" t="s">
        <v>1802</v>
      </c>
      <c r="CC168" s="10" t="s">
        <v>2084</v>
      </c>
      <c r="CD168" s="7" t="s">
        <v>3835</v>
      </c>
      <c r="CE168" s="10" t="s">
        <v>3705</v>
      </c>
      <c r="CF168" s="7" t="s">
        <v>3909</v>
      </c>
    </row>
    <row r="169" spans="1:85" ht="195">
      <c r="A169" t="s">
        <v>83</v>
      </c>
      <c r="B169" t="s">
        <v>3910</v>
      </c>
      <c r="C169" t="s">
        <v>85</v>
      </c>
      <c r="D169" t="s">
        <v>85</v>
      </c>
      <c r="E169" t="s">
        <v>85</v>
      </c>
      <c r="F169" t="s">
        <v>3911</v>
      </c>
      <c r="G169" t="s">
        <v>85</v>
      </c>
      <c r="H169" t="s">
        <v>85</v>
      </c>
      <c r="I169" s="5" t="s">
        <v>3912</v>
      </c>
      <c r="J169" t="s">
        <v>215</v>
      </c>
      <c r="K169" t="s">
        <v>85</v>
      </c>
      <c r="L169" t="s">
        <v>85</v>
      </c>
      <c r="M169" t="s">
        <v>89</v>
      </c>
      <c r="N169" t="s">
        <v>90</v>
      </c>
      <c r="O169" t="s">
        <v>85</v>
      </c>
      <c r="P169" t="s">
        <v>85</v>
      </c>
      <c r="Q169" t="s">
        <v>85</v>
      </c>
      <c r="R169" t="s">
        <v>85</v>
      </c>
      <c r="S169" t="s">
        <v>85</v>
      </c>
      <c r="T169" t="s">
        <v>3913</v>
      </c>
      <c r="U169" t="s">
        <v>3914</v>
      </c>
      <c r="V169" s="5" t="s">
        <v>3915</v>
      </c>
      <c r="W169" t="s">
        <v>3916</v>
      </c>
      <c r="X169" t="s">
        <v>3917</v>
      </c>
      <c r="Y169" t="s">
        <v>3918</v>
      </c>
      <c r="Z169" t="s">
        <v>3919</v>
      </c>
      <c r="AA169" t="s">
        <v>85</v>
      </c>
      <c r="AB169" t="s">
        <v>85</v>
      </c>
      <c r="AC169" t="s">
        <v>3920</v>
      </c>
      <c r="AD169" t="s">
        <v>3921</v>
      </c>
      <c r="AE169" t="s">
        <v>3922</v>
      </c>
      <c r="AF169" t="s">
        <v>85</v>
      </c>
      <c r="AG169">
        <v>67</v>
      </c>
      <c r="AH169">
        <v>16</v>
      </c>
      <c r="AI169">
        <v>16</v>
      </c>
      <c r="AJ169">
        <v>2</v>
      </c>
      <c r="AK169">
        <v>58</v>
      </c>
      <c r="AL169" t="s">
        <v>225</v>
      </c>
      <c r="AM169" t="s">
        <v>226</v>
      </c>
      <c r="AN169" t="s">
        <v>3923</v>
      </c>
      <c r="AO169" t="s">
        <v>228</v>
      </c>
      <c r="AP169" t="s">
        <v>85</v>
      </c>
      <c r="AQ169" t="s">
        <v>85</v>
      </c>
      <c r="AR169" t="s">
        <v>229</v>
      </c>
      <c r="AS169" t="s">
        <v>230</v>
      </c>
      <c r="AT169" t="s">
        <v>3924</v>
      </c>
      <c r="AU169" s="6">
        <v>2015</v>
      </c>
      <c r="AV169">
        <v>6</v>
      </c>
      <c r="AW169" t="s">
        <v>85</v>
      </c>
      <c r="AX169" t="s">
        <v>85</v>
      </c>
      <c r="AY169" t="s">
        <v>85</v>
      </c>
      <c r="AZ169" t="s">
        <v>85</v>
      </c>
      <c r="BA169" t="s">
        <v>85</v>
      </c>
      <c r="BB169" t="s">
        <v>85</v>
      </c>
      <c r="BC169" t="s">
        <v>85</v>
      </c>
      <c r="BD169">
        <v>1228</v>
      </c>
      <c r="BE169" t="s">
        <v>3925</v>
      </c>
      <c r="BF169" t="str">
        <f>HYPERLINK("http://dx.doi.org/10.3389/fpsyg.2015.01228","http://dx.doi.org/10.3389/fpsyg.2015.01228")</f>
        <v>http://dx.doi.org/10.3389/fpsyg.2015.01228</v>
      </c>
      <c r="BG169" t="s">
        <v>85</v>
      </c>
      <c r="BH169" t="s">
        <v>85</v>
      </c>
      <c r="BI169">
        <v>21</v>
      </c>
      <c r="BJ169" s="6" t="s">
        <v>233</v>
      </c>
      <c r="BK169" t="s">
        <v>146</v>
      </c>
      <c r="BL169" t="s">
        <v>234</v>
      </c>
      <c r="BM169" t="s">
        <v>3926</v>
      </c>
      <c r="BN169" t="s">
        <v>85</v>
      </c>
      <c r="BO169" t="s">
        <v>236</v>
      </c>
      <c r="BP169" t="s">
        <v>85</v>
      </c>
      <c r="BQ169" t="s">
        <v>85</v>
      </c>
      <c r="BR169" t="s">
        <v>116</v>
      </c>
      <c r="BS169" t="s">
        <v>3927</v>
      </c>
      <c r="BT169" t="str">
        <f>HYPERLINK("https%3A%2F%2Fwww.webofscience.com%2Fwos%2Fwoscc%2Ffull-record%2FWOS:000359995200001","View Full Record in Web of Science")</f>
        <v>View Full Record in Web of Science</v>
      </c>
      <c r="BW169" s="11" t="s">
        <v>149</v>
      </c>
      <c r="BX169" s="7" t="s">
        <v>3928</v>
      </c>
      <c r="CA169" s="7" t="s">
        <v>3113</v>
      </c>
      <c r="CB169" s="10" t="s">
        <v>1802</v>
      </c>
      <c r="CC169" s="10" t="s">
        <v>2084</v>
      </c>
      <c r="CD169" s="7" t="s">
        <v>3835</v>
      </c>
      <c r="CE169" s="7" t="s">
        <v>3929</v>
      </c>
      <c r="CF169" s="7" t="s">
        <v>3704</v>
      </c>
      <c r="CG169" s="7" t="s">
        <v>3930</v>
      </c>
    </row>
    <row r="170" spans="1:85" ht="240">
      <c r="A170" t="s">
        <v>83</v>
      </c>
      <c r="B170" t="s">
        <v>3931</v>
      </c>
      <c r="C170" t="s">
        <v>85</v>
      </c>
      <c r="D170" t="s">
        <v>85</v>
      </c>
      <c r="E170" t="s">
        <v>85</v>
      </c>
      <c r="F170" t="s">
        <v>3932</v>
      </c>
      <c r="G170" t="s">
        <v>85</v>
      </c>
      <c r="H170" t="s">
        <v>85</v>
      </c>
      <c r="I170" s="5" t="s">
        <v>3933</v>
      </c>
      <c r="J170" t="s">
        <v>3934</v>
      </c>
      <c r="K170" t="s">
        <v>85</v>
      </c>
      <c r="L170" t="s">
        <v>85</v>
      </c>
      <c r="M170" t="s">
        <v>89</v>
      </c>
      <c r="N170" t="s">
        <v>90</v>
      </c>
      <c r="O170" t="s">
        <v>85</v>
      </c>
      <c r="P170" t="s">
        <v>85</v>
      </c>
      <c r="Q170" t="s">
        <v>85</v>
      </c>
      <c r="R170" t="s">
        <v>85</v>
      </c>
      <c r="S170" t="s">
        <v>85</v>
      </c>
      <c r="T170" t="s">
        <v>3935</v>
      </c>
      <c r="U170" t="s">
        <v>3936</v>
      </c>
      <c r="V170" s="5" t="s">
        <v>3937</v>
      </c>
      <c r="W170" t="s">
        <v>3938</v>
      </c>
      <c r="X170" t="s">
        <v>3939</v>
      </c>
      <c r="Y170" t="s">
        <v>3940</v>
      </c>
      <c r="Z170" t="s">
        <v>3941</v>
      </c>
      <c r="AA170" t="s">
        <v>3942</v>
      </c>
      <c r="AB170" t="s">
        <v>3943</v>
      </c>
      <c r="AC170" t="s">
        <v>3944</v>
      </c>
      <c r="AD170" t="s">
        <v>3945</v>
      </c>
      <c r="AE170" t="s">
        <v>3946</v>
      </c>
      <c r="AF170" t="s">
        <v>85</v>
      </c>
      <c r="AG170">
        <v>53</v>
      </c>
      <c r="AH170">
        <v>11</v>
      </c>
      <c r="AI170">
        <v>11</v>
      </c>
      <c r="AJ170">
        <v>12</v>
      </c>
      <c r="AK170">
        <v>98</v>
      </c>
      <c r="AL170" t="s">
        <v>101</v>
      </c>
      <c r="AM170" t="s">
        <v>102</v>
      </c>
      <c r="AN170" t="s">
        <v>103</v>
      </c>
      <c r="AO170" t="s">
        <v>3947</v>
      </c>
      <c r="AP170" t="s">
        <v>85</v>
      </c>
      <c r="AQ170" t="s">
        <v>85</v>
      </c>
      <c r="AR170" t="s">
        <v>3948</v>
      </c>
      <c r="AS170" t="s">
        <v>3949</v>
      </c>
      <c r="AT170" t="s">
        <v>1399</v>
      </c>
      <c r="AU170" s="6">
        <v>2015</v>
      </c>
      <c r="AV170">
        <v>133</v>
      </c>
      <c r="AW170" t="s">
        <v>85</v>
      </c>
      <c r="AX170" t="s">
        <v>85</v>
      </c>
      <c r="AY170" t="s">
        <v>85</v>
      </c>
      <c r="AZ170" t="s">
        <v>485</v>
      </c>
      <c r="BA170" t="s">
        <v>85</v>
      </c>
      <c r="BB170">
        <v>253</v>
      </c>
      <c r="BC170">
        <v>260</v>
      </c>
      <c r="BD170" t="s">
        <v>85</v>
      </c>
      <c r="BE170" t="s">
        <v>3950</v>
      </c>
      <c r="BF170" t="str">
        <f>HYPERLINK("http://dx.doi.org/10.1016/j.socscimed.2014.10.033","http://dx.doi.org/10.1016/j.socscimed.2014.10.033")</f>
        <v>http://dx.doi.org/10.1016/j.socscimed.2014.10.033</v>
      </c>
      <c r="BG170" t="s">
        <v>85</v>
      </c>
      <c r="BH170" t="s">
        <v>85</v>
      </c>
      <c r="BI170">
        <v>8</v>
      </c>
      <c r="BJ170" s="6" t="s">
        <v>3951</v>
      </c>
      <c r="BK170" t="s">
        <v>171</v>
      </c>
      <c r="BL170" t="s">
        <v>3952</v>
      </c>
      <c r="BM170" t="s">
        <v>3953</v>
      </c>
      <c r="BN170">
        <v>25459206</v>
      </c>
      <c r="BO170" t="s">
        <v>1797</v>
      </c>
      <c r="BP170" t="s">
        <v>85</v>
      </c>
      <c r="BQ170" t="s">
        <v>85</v>
      </c>
      <c r="BR170" t="s">
        <v>116</v>
      </c>
      <c r="BS170" t="s">
        <v>3954</v>
      </c>
      <c r="BT170" t="str">
        <f>HYPERLINK("https%3A%2F%2Fwww.webofscience.com%2Fwos%2Fwoscc%2Ffull-record%2FWOS:000354579800034","View Full Record in Web of Science")</f>
        <v>View Full Record in Web of Science</v>
      </c>
      <c r="BW170" s="11" t="s">
        <v>149</v>
      </c>
      <c r="BX170" s="7" t="s">
        <v>3955</v>
      </c>
      <c r="CA170" s="7" t="s">
        <v>3956</v>
      </c>
      <c r="CB170" s="10" t="s">
        <v>1802</v>
      </c>
      <c r="CC170" s="10" t="s">
        <v>2084</v>
      </c>
      <c r="CD170" s="7" t="s">
        <v>3835</v>
      </c>
      <c r="CE170" s="7" t="s">
        <v>554</v>
      </c>
      <c r="CF170" s="7" t="s">
        <v>3957</v>
      </c>
    </row>
    <row r="171" spans="1:85" ht="285">
      <c r="A171" t="s">
        <v>83</v>
      </c>
      <c r="B171" t="s">
        <v>3958</v>
      </c>
      <c r="C171" t="s">
        <v>85</v>
      </c>
      <c r="D171" t="s">
        <v>85</v>
      </c>
      <c r="E171" t="s">
        <v>85</v>
      </c>
      <c r="F171" t="s">
        <v>3959</v>
      </c>
      <c r="G171" t="s">
        <v>85</v>
      </c>
      <c r="H171" t="s">
        <v>85</v>
      </c>
      <c r="I171" s="5" t="s">
        <v>3960</v>
      </c>
      <c r="J171" t="s">
        <v>2330</v>
      </c>
      <c r="K171" t="s">
        <v>85</v>
      </c>
      <c r="L171" t="s">
        <v>85</v>
      </c>
      <c r="M171" t="s">
        <v>89</v>
      </c>
      <c r="N171" t="s">
        <v>90</v>
      </c>
      <c r="O171" t="s">
        <v>85</v>
      </c>
      <c r="P171" t="s">
        <v>85</v>
      </c>
      <c r="Q171" t="s">
        <v>85</v>
      </c>
      <c r="R171" t="s">
        <v>85</v>
      </c>
      <c r="S171" t="s">
        <v>85</v>
      </c>
      <c r="T171" t="s">
        <v>3961</v>
      </c>
      <c r="U171" t="s">
        <v>3962</v>
      </c>
      <c r="V171" s="5" t="s">
        <v>3963</v>
      </c>
      <c r="W171" t="s">
        <v>3964</v>
      </c>
      <c r="X171" t="s">
        <v>3965</v>
      </c>
      <c r="Y171" t="s">
        <v>3966</v>
      </c>
      <c r="Z171" t="s">
        <v>3967</v>
      </c>
      <c r="AA171" t="s">
        <v>3968</v>
      </c>
      <c r="AB171" t="s">
        <v>3969</v>
      </c>
      <c r="AC171" t="s">
        <v>3970</v>
      </c>
      <c r="AD171" t="s">
        <v>3971</v>
      </c>
      <c r="AE171" t="s">
        <v>3972</v>
      </c>
      <c r="AF171" t="s">
        <v>85</v>
      </c>
      <c r="AG171">
        <v>90</v>
      </c>
      <c r="AH171">
        <v>209</v>
      </c>
      <c r="AI171">
        <v>211</v>
      </c>
      <c r="AJ171">
        <v>18</v>
      </c>
      <c r="AK171">
        <v>307</v>
      </c>
      <c r="AL171" t="s">
        <v>2342</v>
      </c>
      <c r="AM171" t="s">
        <v>609</v>
      </c>
      <c r="AN171" t="s">
        <v>2343</v>
      </c>
      <c r="AO171" t="s">
        <v>2344</v>
      </c>
      <c r="AP171" t="s">
        <v>85</v>
      </c>
      <c r="AQ171" t="s">
        <v>85</v>
      </c>
      <c r="AR171" t="s">
        <v>2345</v>
      </c>
      <c r="AS171" t="s">
        <v>2346</v>
      </c>
      <c r="AT171" t="s">
        <v>3973</v>
      </c>
      <c r="AU171" s="6">
        <v>2015</v>
      </c>
      <c r="AV171">
        <v>14</v>
      </c>
      <c r="AW171" t="s">
        <v>85</v>
      </c>
      <c r="AX171" t="s">
        <v>85</v>
      </c>
      <c r="AY171" t="s">
        <v>85</v>
      </c>
      <c r="AZ171" t="s">
        <v>85</v>
      </c>
      <c r="BA171" t="s">
        <v>85</v>
      </c>
      <c r="BB171" t="s">
        <v>85</v>
      </c>
      <c r="BC171" t="s">
        <v>85</v>
      </c>
      <c r="BD171">
        <v>17</v>
      </c>
      <c r="BE171" t="s">
        <v>3974</v>
      </c>
      <c r="BF171" t="str">
        <f>HYPERLINK("http://dx.doi.org/10.1186/s12942-015-0009-5","http://dx.doi.org/10.1186/s12942-015-0009-5")</f>
        <v>http://dx.doi.org/10.1186/s12942-015-0009-5</v>
      </c>
      <c r="BG171" t="s">
        <v>85</v>
      </c>
      <c r="BH171" t="s">
        <v>85</v>
      </c>
      <c r="BI171">
        <v>17</v>
      </c>
      <c r="BJ171" s="6" t="s">
        <v>616</v>
      </c>
      <c r="BK171" t="s">
        <v>146</v>
      </c>
      <c r="BL171" t="s">
        <v>616</v>
      </c>
      <c r="BM171" t="s">
        <v>3975</v>
      </c>
      <c r="BN171">
        <v>25924685</v>
      </c>
      <c r="BO171" t="s">
        <v>236</v>
      </c>
      <c r="BP171" t="s">
        <v>1552</v>
      </c>
      <c r="BQ171" t="s">
        <v>1553</v>
      </c>
      <c r="BR171" t="s">
        <v>116</v>
      </c>
      <c r="BS171" t="s">
        <v>3976</v>
      </c>
      <c r="BT171" t="str">
        <f>HYPERLINK("https%3A%2F%2Fwww.webofscience.com%2Fwos%2Fwoscc%2Ffull-record%2FWOS:000355091500001","View Full Record in Web of Science")</f>
        <v>View Full Record in Web of Science</v>
      </c>
      <c r="BW171" s="11" t="s">
        <v>491</v>
      </c>
      <c r="BX171" s="7" t="s">
        <v>3977</v>
      </c>
      <c r="BY171" s="7" t="s">
        <v>3978</v>
      </c>
      <c r="BZ171" s="8" t="s">
        <v>3979</v>
      </c>
      <c r="CA171" s="7" t="s">
        <v>1123</v>
      </c>
      <c r="CB171" s="10" t="s">
        <v>1802</v>
      </c>
      <c r="CC171" s="10" t="s">
        <v>2084</v>
      </c>
      <c r="CD171" s="7" t="s">
        <v>3835</v>
      </c>
      <c r="CE171" s="7" t="s">
        <v>554</v>
      </c>
      <c r="CF171" s="7" t="s">
        <v>369</v>
      </c>
    </row>
    <row r="172" spans="1:85" ht="150">
      <c r="A172" t="s">
        <v>83</v>
      </c>
      <c r="B172" t="s">
        <v>3980</v>
      </c>
      <c r="C172" t="s">
        <v>85</v>
      </c>
      <c r="D172" t="s">
        <v>85</v>
      </c>
      <c r="E172" t="s">
        <v>85</v>
      </c>
      <c r="F172" t="s">
        <v>3981</v>
      </c>
      <c r="G172" t="s">
        <v>85</v>
      </c>
      <c r="H172" t="s">
        <v>85</v>
      </c>
      <c r="I172" s="5" t="s">
        <v>3982</v>
      </c>
      <c r="J172" t="s">
        <v>3983</v>
      </c>
      <c r="K172" t="s">
        <v>85</v>
      </c>
      <c r="L172" t="s">
        <v>85</v>
      </c>
      <c r="M172" t="s">
        <v>89</v>
      </c>
      <c r="N172" t="s">
        <v>90</v>
      </c>
      <c r="O172" t="s">
        <v>85</v>
      </c>
      <c r="P172" t="s">
        <v>85</v>
      </c>
      <c r="Q172" t="s">
        <v>85</v>
      </c>
      <c r="R172" t="s">
        <v>85</v>
      </c>
      <c r="S172" t="s">
        <v>85</v>
      </c>
      <c r="T172" t="s">
        <v>85</v>
      </c>
      <c r="U172" t="s">
        <v>3984</v>
      </c>
      <c r="V172" s="5" t="s">
        <v>3985</v>
      </c>
      <c r="W172" t="s">
        <v>3986</v>
      </c>
      <c r="X172" t="s">
        <v>3987</v>
      </c>
      <c r="Y172" t="s">
        <v>3988</v>
      </c>
      <c r="Z172" t="s">
        <v>3989</v>
      </c>
      <c r="AA172" t="s">
        <v>3990</v>
      </c>
      <c r="AB172" t="s">
        <v>3991</v>
      </c>
      <c r="AC172" t="s">
        <v>3992</v>
      </c>
      <c r="AD172" t="s">
        <v>3992</v>
      </c>
      <c r="AE172" t="s">
        <v>3993</v>
      </c>
      <c r="AF172" t="s">
        <v>85</v>
      </c>
      <c r="AG172">
        <v>283</v>
      </c>
      <c r="AH172">
        <v>13</v>
      </c>
      <c r="AI172">
        <v>13</v>
      </c>
      <c r="AJ172">
        <v>0</v>
      </c>
      <c r="AK172">
        <v>89</v>
      </c>
      <c r="AL172" t="s">
        <v>2342</v>
      </c>
      <c r="AM172" t="s">
        <v>609</v>
      </c>
      <c r="AN172" t="s">
        <v>2343</v>
      </c>
      <c r="AO172" t="s">
        <v>3994</v>
      </c>
      <c r="AP172" t="s">
        <v>85</v>
      </c>
      <c r="AQ172" t="s">
        <v>85</v>
      </c>
      <c r="AR172" t="s">
        <v>3995</v>
      </c>
      <c r="AS172" t="s">
        <v>3996</v>
      </c>
      <c r="AT172" t="s">
        <v>3997</v>
      </c>
      <c r="AU172" s="6">
        <v>2015</v>
      </c>
      <c r="AV172">
        <v>34</v>
      </c>
      <c r="AW172" t="s">
        <v>85</v>
      </c>
      <c r="AX172" t="s">
        <v>85</v>
      </c>
      <c r="AY172" t="s">
        <v>85</v>
      </c>
      <c r="AZ172" t="s">
        <v>85</v>
      </c>
      <c r="BA172" t="s">
        <v>85</v>
      </c>
      <c r="BB172" t="s">
        <v>85</v>
      </c>
      <c r="BC172" t="s">
        <v>85</v>
      </c>
      <c r="BD172">
        <v>1</v>
      </c>
      <c r="BE172" t="s">
        <v>3998</v>
      </c>
      <c r="BF172" t="str">
        <f>HYPERLINK("http://dx.doi.org/10.1186/s40101-015-0041-y","http://dx.doi.org/10.1186/s40101-015-0041-y")</f>
        <v>http://dx.doi.org/10.1186/s40101-015-0041-y</v>
      </c>
      <c r="BG172" t="s">
        <v>85</v>
      </c>
      <c r="BH172" t="s">
        <v>85</v>
      </c>
      <c r="BI172">
        <v>18</v>
      </c>
      <c r="BJ172" s="6" t="s">
        <v>3999</v>
      </c>
      <c r="BK172" t="s">
        <v>112</v>
      </c>
      <c r="BL172" t="s">
        <v>3999</v>
      </c>
      <c r="BM172" t="s">
        <v>4000</v>
      </c>
      <c r="BN172">
        <v>25636731</v>
      </c>
      <c r="BO172" t="s">
        <v>1120</v>
      </c>
      <c r="BP172" t="s">
        <v>85</v>
      </c>
      <c r="BQ172" t="s">
        <v>85</v>
      </c>
      <c r="BR172" t="s">
        <v>116</v>
      </c>
      <c r="BS172" t="s">
        <v>4001</v>
      </c>
      <c r="BT172" t="str">
        <f>HYPERLINK("https%3A%2F%2Fwww.webofscience.com%2Fwos%2Fwoscc%2Ffull-record%2FWOS:000349648600001","View Full Record in Web of Science")</f>
        <v>View Full Record in Web of Science</v>
      </c>
      <c r="BW172" s="11" t="s">
        <v>1861</v>
      </c>
      <c r="BX172" s="11" t="s">
        <v>4002</v>
      </c>
      <c r="CA172" s="7" t="s">
        <v>1861</v>
      </c>
      <c r="CB172" s="10" t="s">
        <v>1802</v>
      </c>
      <c r="CC172" s="10" t="s">
        <v>2084</v>
      </c>
      <c r="CD172" s="7" t="s">
        <v>1861</v>
      </c>
      <c r="CF172" s="7" t="s">
        <v>4003</v>
      </c>
    </row>
    <row r="173" spans="1:85" ht="210">
      <c r="A173" t="s">
        <v>83</v>
      </c>
      <c r="B173" t="s">
        <v>4004</v>
      </c>
      <c r="C173" t="s">
        <v>85</v>
      </c>
      <c r="D173" t="s">
        <v>85</v>
      </c>
      <c r="E173" t="s">
        <v>85</v>
      </c>
      <c r="F173" t="s">
        <v>4005</v>
      </c>
      <c r="G173" t="s">
        <v>85</v>
      </c>
      <c r="H173" t="s">
        <v>85</v>
      </c>
      <c r="I173" s="5" t="s">
        <v>4006</v>
      </c>
      <c r="J173" t="s">
        <v>4007</v>
      </c>
      <c r="K173" t="s">
        <v>85</v>
      </c>
      <c r="L173" t="s">
        <v>85</v>
      </c>
      <c r="M173" t="s">
        <v>89</v>
      </c>
      <c r="N173" t="s">
        <v>90</v>
      </c>
      <c r="O173" t="s">
        <v>85</v>
      </c>
      <c r="P173" t="s">
        <v>85</v>
      </c>
      <c r="Q173" t="s">
        <v>85</v>
      </c>
      <c r="R173" t="s">
        <v>85</v>
      </c>
      <c r="S173" t="s">
        <v>85</v>
      </c>
      <c r="T173" t="s">
        <v>4008</v>
      </c>
      <c r="U173" t="s">
        <v>4009</v>
      </c>
      <c r="V173" s="5" t="s">
        <v>4010</v>
      </c>
      <c r="W173" t="s">
        <v>4011</v>
      </c>
      <c r="X173" t="s">
        <v>4012</v>
      </c>
      <c r="Y173" t="s">
        <v>4013</v>
      </c>
      <c r="Z173" t="s">
        <v>4014</v>
      </c>
      <c r="AA173" t="s">
        <v>4015</v>
      </c>
      <c r="AB173" t="s">
        <v>4016</v>
      </c>
      <c r="AC173" t="s">
        <v>4017</v>
      </c>
      <c r="AD173" t="s">
        <v>4018</v>
      </c>
      <c r="AE173" t="s">
        <v>4019</v>
      </c>
      <c r="AF173" t="s">
        <v>85</v>
      </c>
      <c r="AG173">
        <v>91</v>
      </c>
      <c r="AH173">
        <v>494</v>
      </c>
      <c r="AI173">
        <v>505</v>
      </c>
      <c r="AJ173">
        <v>84</v>
      </c>
      <c r="AK173">
        <v>1087</v>
      </c>
      <c r="AL173" t="s">
        <v>1004</v>
      </c>
      <c r="AM173" t="s">
        <v>609</v>
      </c>
      <c r="AN173" t="s">
        <v>1005</v>
      </c>
      <c r="AO173" t="s">
        <v>4020</v>
      </c>
      <c r="AP173" t="s">
        <v>4021</v>
      </c>
      <c r="AQ173" t="s">
        <v>85</v>
      </c>
      <c r="AR173" t="s">
        <v>4022</v>
      </c>
      <c r="AS173" t="s">
        <v>4023</v>
      </c>
      <c r="AT173" t="s">
        <v>4024</v>
      </c>
      <c r="AU173" s="6">
        <v>2014</v>
      </c>
      <c r="AV173">
        <v>146</v>
      </c>
      <c r="AW173" t="s">
        <v>85</v>
      </c>
      <c r="AX173" t="s">
        <v>85</v>
      </c>
      <c r="AY173" t="s">
        <v>85</v>
      </c>
      <c r="AZ173" t="s">
        <v>85</v>
      </c>
      <c r="BA173" t="s">
        <v>85</v>
      </c>
      <c r="BB173">
        <v>107</v>
      </c>
      <c r="BC173">
        <v>115</v>
      </c>
      <c r="BD173" t="s">
        <v>85</v>
      </c>
      <c r="BE173" t="s">
        <v>4025</v>
      </c>
      <c r="BF173" t="str">
        <f>HYPERLINK("http://dx.doi.org/10.1016/j.jenvman.2014.07.025","http://dx.doi.org/10.1016/j.jenvman.2014.07.025")</f>
        <v>http://dx.doi.org/10.1016/j.jenvman.2014.07.025</v>
      </c>
      <c r="BG173" t="s">
        <v>85</v>
      </c>
      <c r="BH173" t="s">
        <v>85</v>
      </c>
      <c r="BI173">
        <v>9</v>
      </c>
      <c r="BJ173" s="6" t="s">
        <v>111</v>
      </c>
      <c r="BK173" t="s">
        <v>171</v>
      </c>
      <c r="BL173" t="s">
        <v>113</v>
      </c>
      <c r="BM173" t="s">
        <v>4026</v>
      </c>
      <c r="BN173">
        <v>25163601</v>
      </c>
      <c r="BO173" t="s">
        <v>85</v>
      </c>
      <c r="BP173" t="s">
        <v>1552</v>
      </c>
      <c r="BQ173" t="s">
        <v>1553</v>
      </c>
      <c r="BR173" t="s">
        <v>116</v>
      </c>
      <c r="BS173" t="s">
        <v>4027</v>
      </c>
      <c r="BT173" t="str">
        <f>HYPERLINK("https%3A%2F%2Fwww.webofscience.com%2Fwos%2Fwoscc%2Ffull-record%2FWOS:000343614400013","View Full Record in Web of Science")</f>
        <v>View Full Record in Web of Science</v>
      </c>
      <c r="BW173" s="11" t="s">
        <v>495</v>
      </c>
      <c r="BX173" s="7" t="s">
        <v>4028</v>
      </c>
      <c r="CA173" s="7" t="s">
        <v>1861</v>
      </c>
      <c r="CB173" s="10" t="s">
        <v>1802</v>
      </c>
      <c r="CC173" s="10" t="s">
        <v>2084</v>
      </c>
      <c r="CD173" s="7" t="s">
        <v>1861</v>
      </c>
      <c r="CF173" s="7" t="s">
        <v>4003</v>
      </c>
    </row>
    <row r="174" spans="1:85" ht="180">
      <c r="A174" t="s">
        <v>83</v>
      </c>
      <c r="B174" t="s">
        <v>4029</v>
      </c>
      <c r="C174" t="s">
        <v>85</v>
      </c>
      <c r="D174" t="s">
        <v>85</v>
      </c>
      <c r="E174" t="s">
        <v>85</v>
      </c>
      <c r="F174" t="s">
        <v>4030</v>
      </c>
      <c r="G174" t="s">
        <v>85</v>
      </c>
      <c r="H174" t="s">
        <v>85</v>
      </c>
      <c r="I174" s="5" t="s">
        <v>4031</v>
      </c>
      <c r="J174" t="s">
        <v>4032</v>
      </c>
      <c r="K174" t="s">
        <v>85</v>
      </c>
      <c r="L174" t="s">
        <v>85</v>
      </c>
      <c r="M174" t="s">
        <v>89</v>
      </c>
      <c r="N174" t="s">
        <v>90</v>
      </c>
      <c r="O174" t="s">
        <v>85</v>
      </c>
      <c r="P174" t="s">
        <v>85</v>
      </c>
      <c r="Q174" t="s">
        <v>85</v>
      </c>
      <c r="R174" t="s">
        <v>85</v>
      </c>
      <c r="S174" t="s">
        <v>85</v>
      </c>
      <c r="T174" t="s">
        <v>4033</v>
      </c>
      <c r="U174" t="s">
        <v>4034</v>
      </c>
      <c r="V174" s="5" t="s">
        <v>4035</v>
      </c>
      <c r="W174" t="s">
        <v>4036</v>
      </c>
      <c r="X174" t="s">
        <v>4037</v>
      </c>
      <c r="Y174" t="s">
        <v>4038</v>
      </c>
      <c r="Z174" t="s">
        <v>4039</v>
      </c>
      <c r="AA174" t="s">
        <v>85</v>
      </c>
      <c r="AB174" t="s">
        <v>4040</v>
      </c>
      <c r="AC174" t="s">
        <v>85</v>
      </c>
      <c r="AD174" t="s">
        <v>85</v>
      </c>
      <c r="AE174" t="s">
        <v>85</v>
      </c>
      <c r="AF174" t="s">
        <v>85</v>
      </c>
      <c r="AG174">
        <v>16</v>
      </c>
      <c r="AH174">
        <v>14</v>
      </c>
      <c r="AI174">
        <v>16</v>
      </c>
      <c r="AJ174">
        <v>0</v>
      </c>
      <c r="AK174">
        <v>47</v>
      </c>
      <c r="AL174" t="s">
        <v>4041</v>
      </c>
      <c r="AM174" t="s">
        <v>4042</v>
      </c>
      <c r="AN174" t="s">
        <v>4043</v>
      </c>
      <c r="AO174" t="s">
        <v>85</v>
      </c>
      <c r="AP174" t="s">
        <v>4044</v>
      </c>
      <c r="AQ174" t="s">
        <v>85</v>
      </c>
      <c r="AR174" t="s">
        <v>4045</v>
      </c>
      <c r="AS174" t="s">
        <v>4046</v>
      </c>
      <c r="AT174" t="s">
        <v>761</v>
      </c>
      <c r="AU174" s="6">
        <v>2014</v>
      </c>
      <c r="AV174">
        <v>39</v>
      </c>
      <c r="AW174">
        <v>2</v>
      </c>
      <c r="AX174" t="s">
        <v>85</v>
      </c>
      <c r="AY174" t="s">
        <v>85</v>
      </c>
      <c r="AZ174" t="s">
        <v>85</v>
      </c>
      <c r="BA174" t="s">
        <v>85</v>
      </c>
      <c r="BB174">
        <v>249</v>
      </c>
      <c r="BC174">
        <v>260</v>
      </c>
      <c r="BD174" t="s">
        <v>85</v>
      </c>
      <c r="BE174" t="s">
        <v>4047</v>
      </c>
      <c r="BF174" t="str">
        <f>HYPERLINK("http://dx.doi.org/10.1111/jvec.12099","http://dx.doi.org/10.1111/jvec.12099")</f>
        <v>http://dx.doi.org/10.1111/jvec.12099</v>
      </c>
      <c r="BG174" t="s">
        <v>85</v>
      </c>
      <c r="BH174" t="s">
        <v>85</v>
      </c>
      <c r="BI174">
        <v>12</v>
      </c>
      <c r="BJ174" s="6" t="s">
        <v>4048</v>
      </c>
      <c r="BK174" t="s">
        <v>112</v>
      </c>
      <c r="BL174" t="s">
        <v>4048</v>
      </c>
      <c r="BM174" t="s">
        <v>4049</v>
      </c>
      <c r="BN174">
        <v>25424253</v>
      </c>
      <c r="BO174" t="s">
        <v>85</v>
      </c>
      <c r="BP174" t="s">
        <v>85</v>
      </c>
      <c r="BQ174" t="s">
        <v>85</v>
      </c>
      <c r="BR174" t="s">
        <v>116</v>
      </c>
      <c r="BS174" t="s">
        <v>4050</v>
      </c>
      <c r="BT174" t="str">
        <f>HYPERLINK("https%3A%2F%2Fwww.webofscience.com%2Fwos%2Fwoscc%2Ffull-record%2FWOS:000345572200005","View Full Record in Web of Science")</f>
        <v>View Full Record in Web of Science</v>
      </c>
      <c r="BW174" s="11" t="s">
        <v>149</v>
      </c>
      <c r="BX174" s="7" t="s">
        <v>4051</v>
      </c>
      <c r="CA174" s="7" t="s">
        <v>4052</v>
      </c>
      <c r="CB174" s="10" t="s">
        <v>1802</v>
      </c>
      <c r="CC174" s="10" t="s">
        <v>2084</v>
      </c>
      <c r="CD174" s="7" t="s">
        <v>4053</v>
      </c>
      <c r="CF174" s="7" t="s">
        <v>369</v>
      </c>
    </row>
    <row r="175" spans="1:85" ht="225">
      <c r="A175" t="s">
        <v>83</v>
      </c>
      <c r="B175" t="s">
        <v>4054</v>
      </c>
      <c r="C175" t="s">
        <v>85</v>
      </c>
      <c r="D175" t="s">
        <v>85</v>
      </c>
      <c r="E175" t="s">
        <v>85</v>
      </c>
      <c r="F175" t="s">
        <v>4055</v>
      </c>
      <c r="G175" t="s">
        <v>85</v>
      </c>
      <c r="H175" t="s">
        <v>85</v>
      </c>
      <c r="I175" s="5" t="s">
        <v>4056</v>
      </c>
      <c r="J175" t="s">
        <v>4057</v>
      </c>
      <c r="K175" t="s">
        <v>85</v>
      </c>
      <c r="L175" t="s">
        <v>85</v>
      </c>
      <c r="M175" t="s">
        <v>89</v>
      </c>
      <c r="N175" t="s">
        <v>90</v>
      </c>
      <c r="O175" t="s">
        <v>85</v>
      </c>
      <c r="P175" t="s">
        <v>85</v>
      </c>
      <c r="Q175" t="s">
        <v>85</v>
      </c>
      <c r="R175" t="s">
        <v>85</v>
      </c>
      <c r="S175" t="s">
        <v>85</v>
      </c>
      <c r="T175" t="s">
        <v>4058</v>
      </c>
      <c r="U175" t="s">
        <v>4059</v>
      </c>
      <c r="V175" s="5" t="s">
        <v>4060</v>
      </c>
      <c r="W175" t="s">
        <v>4061</v>
      </c>
      <c r="X175" t="s">
        <v>4062</v>
      </c>
      <c r="Y175" t="s">
        <v>4063</v>
      </c>
      <c r="Z175" t="s">
        <v>4064</v>
      </c>
      <c r="AA175" t="s">
        <v>4065</v>
      </c>
      <c r="AB175" t="s">
        <v>4066</v>
      </c>
      <c r="AC175" t="s">
        <v>4067</v>
      </c>
      <c r="AD175" t="s">
        <v>2849</v>
      </c>
      <c r="AE175" t="s">
        <v>4068</v>
      </c>
      <c r="AF175" t="s">
        <v>85</v>
      </c>
      <c r="AG175">
        <v>81</v>
      </c>
      <c r="AH175">
        <v>105</v>
      </c>
      <c r="AI175">
        <v>105</v>
      </c>
      <c r="AJ175">
        <v>7</v>
      </c>
      <c r="AK175">
        <v>137</v>
      </c>
      <c r="AL175" t="s">
        <v>608</v>
      </c>
      <c r="AM175" t="s">
        <v>609</v>
      </c>
      <c r="AN175" t="s">
        <v>610</v>
      </c>
      <c r="AO175" t="s">
        <v>4069</v>
      </c>
      <c r="AP175" t="s">
        <v>85</v>
      </c>
      <c r="AQ175" t="s">
        <v>85</v>
      </c>
      <c r="AR175" t="s">
        <v>4057</v>
      </c>
      <c r="AS175" t="s">
        <v>4070</v>
      </c>
      <c r="AT175" t="s">
        <v>85</v>
      </c>
      <c r="AU175" s="6">
        <v>2014</v>
      </c>
      <c r="AV175">
        <v>4</v>
      </c>
      <c r="AW175">
        <v>4</v>
      </c>
      <c r="AX175" t="s">
        <v>85</v>
      </c>
      <c r="AY175" t="s">
        <v>85</v>
      </c>
      <c r="AZ175" t="s">
        <v>85</v>
      </c>
      <c r="BA175" t="s">
        <v>85</v>
      </c>
      <c r="BB175" t="s">
        <v>85</v>
      </c>
      <c r="BC175" t="s">
        <v>85</v>
      </c>
      <c r="BD175" t="s">
        <v>85</v>
      </c>
      <c r="BE175" t="s">
        <v>4071</v>
      </c>
      <c r="BF175" t="str">
        <f>HYPERLINK("http://dx.doi.org/10.1136/bmjopen-2014-004951","http://dx.doi.org/10.1136/bmjopen-2014-004951")</f>
        <v>http://dx.doi.org/10.1136/bmjopen-2014-004951</v>
      </c>
      <c r="BG175" t="s">
        <v>85</v>
      </c>
      <c r="BH175" t="s">
        <v>85</v>
      </c>
      <c r="BI175">
        <v>11</v>
      </c>
      <c r="BJ175" s="6" t="s">
        <v>1277</v>
      </c>
      <c r="BK175" t="s">
        <v>171</v>
      </c>
      <c r="BL175" t="s">
        <v>1278</v>
      </c>
      <c r="BM175" t="s">
        <v>4072</v>
      </c>
      <c r="BN175">
        <v>24740979</v>
      </c>
      <c r="BO175" t="s">
        <v>4073</v>
      </c>
      <c r="BP175" t="s">
        <v>85</v>
      </c>
      <c r="BQ175" t="s">
        <v>85</v>
      </c>
      <c r="BR175" t="s">
        <v>116</v>
      </c>
      <c r="BS175" t="s">
        <v>4074</v>
      </c>
      <c r="BT175" t="str">
        <f>HYPERLINK("https%3A%2F%2Fwww.webofscience.com%2Fwos%2Fwoscc%2Ffull-record%2FWOS:000335830500030","View Full Record in Web of Science")</f>
        <v>View Full Record in Web of Science</v>
      </c>
      <c r="BW175" s="11" t="s">
        <v>149</v>
      </c>
      <c r="BX175" s="7" t="s">
        <v>4075</v>
      </c>
      <c r="CA175" s="7" t="s">
        <v>4076</v>
      </c>
      <c r="CB175" s="10" t="s">
        <v>1802</v>
      </c>
      <c r="CC175" s="10" t="s">
        <v>2084</v>
      </c>
      <c r="CD175" s="7"/>
      <c r="CF175" s="7" t="s">
        <v>4077</v>
      </c>
    </row>
    <row r="176" spans="1:85" ht="210">
      <c r="A176" t="s">
        <v>83</v>
      </c>
      <c r="B176" t="s">
        <v>4078</v>
      </c>
      <c r="C176" t="s">
        <v>85</v>
      </c>
      <c r="D176" t="s">
        <v>85</v>
      </c>
      <c r="E176" t="s">
        <v>85</v>
      </c>
      <c r="F176" t="s">
        <v>4079</v>
      </c>
      <c r="G176" t="s">
        <v>85</v>
      </c>
      <c r="H176" t="s">
        <v>85</v>
      </c>
      <c r="I176" s="5" t="s">
        <v>4080</v>
      </c>
      <c r="J176" t="s">
        <v>3368</v>
      </c>
      <c r="K176" t="s">
        <v>85</v>
      </c>
      <c r="L176" t="s">
        <v>85</v>
      </c>
      <c r="M176" t="s">
        <v>89</v>
      </c>
      <c r="N176" t="s">
        <v>90</v>
      </c>
      <c r="O176" t="s">
        <v>85</v>
      </c>
      <c r="P176" t="s">
        <v>85</v>
      </c>
      <c r="Q176" t="s">
        <v>85</v>
      </c>
      <c r="R176" t="s">
        <v>85</v>
      </c>
      <c r="S176" t="s">
        <v>85</v>
      </c>
      <c r="T176" t="s">
        <v>4081</v>
      </c>
      <c r="U176" t="s">
        <v>4082</v>
      </c>
      <c r="V176" s="5" t="s">
        <v>4083</v>
      </c>
      <c r="W176" t="s">
        <v>4084</v>
      </c>
      <c r="X176" t="s">
        <v>4085</v>
      </c>
      <c r="Y176" t="s">
        <v>4086</v>
      </c>
      <c r="Z176" t="s">
        <v>4087</v>
      </c>
      <c r="AA176" t="s">
        <v>4088</v>
      </c>
      <c r="AB176" t="s">
        <v>4089</v>
      </c>
      <c r="AC176" t="s">
        <v>4090</v>
      </c>
      <c r="AD176" t="s">
        <v>4091</v>
      </c>
      <c r="AE176" t="s">
        <v>4092</v>
      </c>
      <c r="AF176" t="s">
        <v>85</v>
      </c>
      <c r="AG176">
        <v>54</v>
      </c>
      <c r="AH176">
        <v>469</v>
      </c>
      <c r="AI176">
        <v>476</v>
      </c>
      <c r="AJ176">
        <v>25</v>
      </c>
      <c r="AK176">
        <v>486</v>
      </c>
      <c r="AL176" t="s">
        <v>680</v>
      </c>
      <c r="AM176" t="s">
        <v>102</v>
      </c>
      <c r="AN176" t="s">
        <v>681</v>
      </c>
      <c r="AO176" t="s">
        <v>3378</v>
      </c>
      <c r="AP176" t="s">
        <v>3379</v>
      </c>
      <c r="AQ176" t="s">
        <v>85</v>
      </c>
      <c r="AR176" t="s">
        <v>3380</v>
      </c>
      <c r="AS176" t="s">
        <v>3381</v>
      </c>
      <c r="AT176" t="s">
        <v>200</v>
      </c>
      <c r="AU176" s="6">
        <v>2013</v>
      </c>
      <c r="AV176">
        <v>23</v>
      </c>
      <c r="AW176">
        <v>5</v>
      </c>
      <c r="AX176" t="s">
        <v>85</v>
      </c>
      <c r="AY176" t="s">
        <v>85</v>
      </c>
      <c r="AZ176" t="s">
        <v>485</v>
      </c>
      <c r="BA176" t="s">
        <v>85</v>
      </c>
      <c r="BB176">
        <v>992</v>
      </c>
      <c r="BC176">
        <v>1000</v>
      </c>
      <c r="BD176" t="s">
        <v>85</v>
      </c>
      <c r="BE176" t="s">
        <v>4093</v>
      </c>
      <c r="BF176" t="str">
        <f>HYPERLINK("http://dx.doi.org/10.1016/j.gloenvcha.2013.03.010","http://dx.doi.org/10.1016/j.gloenvcha.2013.03.010")</f>
        <v>http://dx.doi.org/10.1016/j.gloenvcha.2013.03.010</v>
      </c>
      <c r="BG176" t="s">
        <v>85</v>
      </c>
      <c r="BH176" t="s">
        <v>85</v>
      </c>
      <c r="BI176">
        <v>9</v>
      </c>
      <c r="BJ176" s="6" t="s">
        <v>3383</v>
      </c>
      <c r="BK176" t="s">
        <v>171</v>
      </c>
      <c r="BL176" t="s">
        <v>3384</v>
      </c>
      <c r="BM176" t="s">
        <v>4094</v>
      </c>
      <c r="BN176" t="s">
        <v>85</v>
      </c>
      <c r="BO176" t="s">
        <v>1513</v>
      </c>
      <c r="BP176" t="s">
        <v>1552</v>
      </c>
      <c r="BQ176" t="s">
        <v>1553</v>
      </c>
      <c r="BR176" t="s">
        <v>116</v>
      </c>
      <c r="BS176" t="s">
        <v>4095</v>
      </c>
      <c r="BT176" t="str">
        <f>HYPERLINK("https%3A%2F%2Fwww.webofscience.com%2Fwos%2Fwoscc%2Ffull-record%2FWOS:000328179400017","View Full Record in Web of Science")</f>
        <v>View Full Record in Web of Science</v>
      </c>
      <c r="BW176" s="11" t="s">
        <v>149</v>
      </c>
      <c r="BX176" s="7" t="s">
        <v>4096</v>
      </c>
      <c r="BZ176" s="8" t="s">
        <v>3979</v>
      </c>
      <c r="CA176" s="7" t="s">
        <v>4097</v>
      </c>
      <c r="CB176" s="10" t="s">
        <v>1802</v>
      </c>
      <c r="CC176" s="10" t="s">
        <v>2084</v>
      </c>
      <c r="CD176" s="7" t="s">
        <v>3835</v>
      </c>
      <c r="CE176" s="7" t="s">
        <v>554</v>
      </c>
      <c r="CF176" s="7" t="s">
        <v>369</v>
      </c>
    </row>
    <row r="177" spans="1:84" ht="300">
      <c r="A177" t="s">
        <v>83</v>
      </c>
      <c r="B177" t="s">
        <v>4098</v>
      </c>
      <c r="C177" t="s">
        <v>85</v>
      </c>
      <c r="D177" t="s">
        <v>85</v>
      </c>
      <c r="E177" t="s">
        <v>85</v>
      </c>
      <c r="F177" t="s">
        <v>4099</v>
      </c>
      <c r="G177" t="s">
        <v>85</v>
      </c>
      <c r="H177" t="s">
        <v>85</v>
      </c>
      <c r="I177" s="5" t="s">
        <v>4100</v>
      </c>
      <c r="J177" t="s">
        <v>2381</v>
      </c>
      <c r="K177" t="s">
        <v>85</v>
      </c>
      <c r="L177" t="s">
        <v>85</v>
      </c>
      <c r="M177" t="s">
        <v>89</v>
      </c>
      <c r="N177" t="s">
        <v>90</v>
      </c>
      <c r="O177" t="s">
        <v>85</v>
      </c>
      <c r="P177" t="s">
        <v>85</v>
      </c>
      <c r="Q177" t="s">
        <v>85</v>
      </c>
      <c r="R177" t="s">
        <v>85</v>
      </c>
      <c r="S177" t="s">
        <v>85</v>
      </c>
      <c r="T177" t="s">
        <v>4101</v>
      </c>
      <c r="U177" t="s">
        <v>4102</v>
      </c>
      <c r="V177" s="5" t="s">
        <v>4103</v>
      </c>
      <c r="W177" t="s">
        <v>4104</v>
      </c>
      <c r="X177" t="s">
        <v>4105</v>
      </c>
      <c r="Y177" t="s">
        <v>4106</v>
      </c>
      <c r="Z177" t="s">
        <v>4107</v>
      </c>
      <c r="AA177" t="s">
        <v>4108</v>
      </c>
      <c r="AB177" t="s">
        <v>4109</v>
      </c>
      <c r="AC177" t="s">
        <v>4110</v>
      </c>
      <c r="AD177" t="s">
        <v>4111</v>
      </c>
      <c r="AE177" t="s">
        <v>4112</v>
      </c>
      <c r="AF177" t="s">
        <v>85</v>
      </c>
      <c r="AG177">
        <v>71</v>
      </c>
      <c r="AH177">
        <v>88</v>
      </c>
      <c r="AI177">
        <v>90</v>
      </c>
      <c r="AJ177">
        <v>17</v>
      </c>
      <c r="AK177">
        <v>178</v>
      </c>
      <c r="AL177" t="s">
        <v>2342</v>
      </c>
      <c r="AM177" t="s">
        <v>609</v>
      </c>
      <c r="AN177" t="s">
        <v>2343</v>
      </c>
      <c r="AO177" t="s">
        <v>2394</v>
      </c>
      <c r="AP177" t="s">
        <v>85</v>
      </c>
      <c r="AQ177" t="s">
        <v>85</v>
      </c>
      <c r="AR177" t="s">
        <v>2381</v>
      </c>
      <c r="AS177" t="s">
        <v>2395</v>
      </c>
      <c r="AT177" t="s">
        <v>4113</v>
      </c>
      <c r="AU177" s="6">
        <v>2013</v>
      </c>
      <c r="AV177">
        <v>13</v>
      </c>
      <c r="AW177" t="s">
        <v>85</v>
      </c>
      <c r="AX177" t="s">
        <v>85</v>
      </c>
      <c r="AY177" t="s">
        <v>85</v>
      </c>
      <c r="AZ177" t="s">
        <v>85</v>
      </c>
      <c r="BA177" t="s">
        <v>85</v>
      </c>
      <c r="BB177" t="s">
        <v>85</v>
      </c>
      <c r="BC177" t="s">
        <v>85</v>
      </c>
      <c r="BD177">
        <v>407</v>
      </c>
      <c r="BE177" t="s">
        <v>4114</v>
      </c>
      <c r="BF177" t="str">
        <f>HYPERLINK("http://dx.doi.org/10.1186/1471-2458-13-407","http://dx.doi.org/10.1186/1471-2458-13-407")</f>
        <v>http://dx.doi.org/10.1186/1471-2458-13-407</v>
      </c>
      <c r="BG177" t="s">
        <v>85</v>
      </c>
      <c r="BH177" t="s">
        <v>85</v>
      </c>
      <c r="BI177">
        <v>14</v>
      </c>
      <c r="BJ177" s="6" t="s">
        <v>616</v>
      </c>
      <c r="BK177" t="s">
        <v>171</v>
      </c>
      <c r="BL177" t="s">
        <v>616</v>
      </c>
      <c r="BM177" t="s">
        <v>4115</v>
      </c>
      <c r="BN177">
        <v>23627738</v>
      </c>
      <c r="BO177" t="s">
        <v>1120</v>
      </c>
      <c r="BP177" t="s">
        <v>85</v>
      </c>
      <c r="BQ177" t="s">
        <v>85</v>
      </c>
      <c r="BR177" t="s">
        <v>116</v>
      </c>
      <c r="BS177" t="s">
        <v>4116</v>
      </c>
      <c r="BT177" t="str">
        <f>HYPERLINK("https%3A%2F%2Fwww.webofscience.com%2Fwos%2Fwoscc%2Ffull-record%2FWOS:000318639000001","View Full Record in Web of Science")</f>
        <v>View Full Record in Web of Science</v>
      </c>
      <c r="BW177" s="11" t="s">
        <v>491</v>
      </c>
      <c r="BX177" s="7" t="s">
        <v>4117</v>
      </c>
      <c r="BY177" s="7" t="s">
        <v>289</v>
      </c>
      <c r="CA177" s="7" t="s">
        <v>4118</v>
      </c>
      <c r="CB177" s="7" t="s">
        <v>3535</v>
      </c>
      <c r="CC177" s="10" t="s">
        <v>2084</v>
      </c>
      <c r="CD177" s="7" t="s">
        <v>3835</v>
      </c>
      <c r="CE177" s="7" t="s">
        <v>554</v>
      </c>
      <c r="CF177" s="7" t="s">
        <v>4119</v>
      </c>
    </row>
    <row r="178" spans="1:84" ht="255">
      <c r="A178" t="s">
        <v>83</v>
      </c>
      <c r="B178" t="s">
        <v>4120</v>
      </c>
      <c r="C178" t="s">
        <v>85</v>
      </c>
      <c r="D178" t="s">
        <v>85</v>
      </c>
      <c r="E178" t="s">
        <v>85</v>
      </c>
      <c r="F178" t="s">
        <v>4121</v>
      </c>
      <c r="G178" t="s">
        <v>85</v>
      </c>
      <c r="H178" t="s">
        <v>85</v>
      </c>
      <c r="I178" s="5" t="s">
        <v>4122</v>
      </c>
      <c r="J178" t="s">
        <v>4123</v>
      </c>
      <c r="K178" t="s">
        <v>85</v>
      </c>
      <c r="L178" t="s">
        <v>85</v>
      </c>
      <c r="M178" t="s">
        <v>89</v>
      </c>
      <c r="N178" t="s">
        <v>90</v>
      </c>
      <c r="O178" t="s">
        <v>85</v>
      </c>
      <c r="P178" t="s">
        <v>85</v>
      </c>
      <c r="Q178" t="s">
        <v>85</v>
      </c>
      <c r="R178" t="s">
        <v>85</v>
      </c>
      <c r="S178" t="s">
        <v>85</v>
      </c>
      <c r="T178" t="s">
        <v>4124</v>
      </c>
      <c r="U178" t="s">
        <v>4125</v>
      </c>
      <c r="V178" s="5" t="s">
        <v>4126</v>
      </c>
      <c r="W178" t="s">
        <v>4127</v>
      </c>
      <c r="X178" t="s">
        <v>4128</v>
      </c>
      <c r="Y178" t="s">
        <v>4129</v>
      </c>
      <c r="Z178" t="s">
        <v>4130</v>
      </c>
      <c r="AA178" t="s">
        <v>85</v>
      </c>
      <c r="AB178" t="s">
        <v>85</v>
      </c>
      <c r="AC178" t="s">
        <v>4131</v>
      </c>
      <c r="AD178" t="s">
        <v>4132</v>
      </c>
      <c r="AE178" t="s">
        <v>4133</v>
      </c>
      <c r="AF178" t="s">
        <v>85</v>
      </c>
      <c r="AG178">
        <v>78</v>
      </c>
      <c r="AH178">
        <v>126</v>
      </c>
      <c r="AI178">
        <v>129</v>
      </c>
      <c r="AJ178">
        <v>7</v>
      </c>
      <c r="AK178">
        <v>258</v>
      </c>
      <c r="AL178" t="s">
        <v>3014</v>
      </c>
      <c r="AM178" t="s">
        <v>609</v>
      </c>
      <c r="AN178" t="s">
        <v>3015</v>
      </c>
      <c r="AO178" t="s">
        <v>4134</v>
      </c>
      <c r="AP178" t="s">
        <v>4135</v>
      </c>
      <c r="AQ178" t="s">
        <v>85</v>
      </c>
      <c r="AR178" t="s">
        <v>4136</v>
      </c>
      <c r="AS178" t="s">
        <v>4137</v>
      </c>
      <c r="AT178" t="s">
        <v>200</v>
      </c>
      <c r="AU178" s="6">
        <v>2011</v>
      </c>
      <c r="AV178">
        <v>35</v>
      </c>
      <c r="AW178">
        <v>5</v>
      </c>
      <c r="AX178" t="s">
        <v>85</v>
      </c>
      <c r="AY178" t="s">
        <v>85</v>
      </c>
      <c r="AZ178" t="s">
        <v>485</v>
      </c>
      <c r="BA178" t="s">
        <v>85</v>
      </c>
      <c r="BB178">
        <v>653</v>
      </c>
      <c r="BC178">
        <v>669</v>
      </c>
      <c r="BD178" t="s">
        <v>85</v>
      </c>
      <c r="BE178" t="s">
        <v>4138</v>
      </c>
      <c r="BF178" t="str">
        <f>HYPERLINK("http://dx.doi.org/10.1177/0309133311422464","http://dx.doi.org/10.1177/0309133311422464")</f>
        <v>http://dx.doi.org/10.1177/0309133311422464</v>
      </c>
      <c r="BG178" t="s">
        <v>85</v>
      </c>
      <c r="BH178" t="s">
        <v>85</v>
      </c>
      <c r="BI178">
        <v>17</v>
      </c>
      <c r="BJ178" s="6" t="s">
        <v>4139</v>
      </c>
      <c r="BK178" t="s">
        <v>171</v>
      </c>
      <c r="BL178" t="s">
        <v>4140</v>
      </c>
      <c r="BM178" t="s">
        <v>4141</v>
      </c>
      <c r="BN178" t="s">
        <v>85</v>
      </c>
      <c r="BO178" t="s">
        <v>1797</v>
      </c>
      <c r="BP178" t="s">
        <v>85</v>
      </c>
      <c r="BQ178" t="s">
        <v>85</v>
      </c>
      <c r="BR178" t="s">
        <v>116</v>
      </c>
      <c r="BS178" t="s">
        <v>4142</v>
      </c>
      <c r="BT178" t="str">
        <f>HYPERLINK("https%3A%2F%2Fwww.webofscience.com%2Fwos%2Fwoscc%2Ffull-record%2FWOS:000295639400006","View Full Record in Web of Science")</f>
        <v>View Full Record in Web of Science</v>
      </c>
      <c r="BW178" s="11" t="s">
        <v>1861</v>
      </c>
      <c r="BX178" s="7" t="s">
        <v>4143</v>
      </c>
      <c r="BY178" s="7" t="s">
        <v>3260</v>
      </c>
      <c r="CA178" s="7" t="s">
        <v>3113</v>
      </c>
      <c r="CB178" s="7" t="s">
        <v>3535</v>
      </c>
      <c r="CC178" s="10" t="s">
        <v>2084</v>
      </c>
      <c r="CD178" s="7" t="s">
        <v>1861</v>
      </c>
      <c r="CF178" s="7" t="s">
        <v>2772</v>
      </c>
    </row>
    <row r="179" spans="1:84">
      <c r="A179" t="s">
        <v>83</v>
      </c>
      <c r="B179" t="s">
        <v>4144</v>
      </c>
      <c r="C179" t="s">
        <v>85</v>
      </c>
      <c r="D179" t="s">
        <v>85</v>
      </c>
      <c r="E179" t="s">
        <v>85</v>
      </c>
      <c r="F179" t="s">
        <v>4145</v>
      </c>
      <c r="G179" t="s">
        <v>85</v>
      </c>
      <c r="H179" t="s">
        <v>85</v>
      </c>
      <c r="I179" t="s">
        <v>4146</v>
      </c>
      <c r="J179" t="s">
        <v>4007</v>
      </c>
      <c r="K179" t="s">
        <v>85</v>
      </c>
      <c r="L179" t="s">
        <v>85</v>
      </c>
      <c r="M179" t="s">
        <v>85</v>
      </c>
      <c r="N179" t="s">
        <v>85</v>
      </c>
      <c r="O179" t="s">
        <v>85</v>
      </c>
      <c r="P179" t="s">
        <v>85</v>
      </c>
      <c r="Q179" t="s">
        <v>85</v>
      </c>
      <c r="R179" t="s">
        <v>85</v>
      </c>
      <c r="S179" t="s">
        <v>85</v>
      </c>
      <c r="T179" t="s">
        <v>85</v>
      </c>
      <c r="U179" t="s">
        <v>85</v>
      </c>
      <c r="V179" t="s">
        <v>85</v>
      </c>
      <c r="W179" t="s">
        <v>85</v>
      </c>
      <c r="X179" t="s">
        <v>85</v>
      </c>
      <c r="Y179" t="s">
        <v>85</v>
      </c>
      <c r="Z179" t="s">
        <v>85</v>
      </c>
      <c r="AA179" t="s">
        <v>85</v>
      </c>
      <c r="AB179" t="s">
        <v>4147</v>
      </c>
      <c r="AC179" t="s">
        <v>85</v>
      </c>
      <c r="AD179" t="s">
        <v>85</v>
      </c>
      <c r="AE179" t="s">
        <v>85</v>
      </c>
      <c r="AF179" t="s">
        <v>85</v>
      </c>
      <c r="AG179" t="s">
        <v>85</v>
      </c>
      <c r="AH179" t="s">
        <v>85</v>
      </c>
      <c r="AI179" t="s">
        <v>85</v>
      </c>
      <c r="AJ179" t="s">
        <v>85</v>
      </c>
      <c r="AK179" t="s">
        <v>85</v>
      </c>
      <c r="AL179" t="s">
        <v>85</v>
      </c>
      <c r="AM179" t="s">
        <v>85</v>
      </c>
      <c r="AN179" t="s">
        <v>85</v>
      </c>
      <c r="AO179" t="s">
        <v>4020</v>
      </c>
      <c r="AP179" t="s">
        <v>4021</v>
      </c>
      <c r="AQ179" t="s">
        <v>85</v>
      </c>
      <c r="AR179" t="s">
        <v>85</v>
      </c>
      <c r="AS179" t="s">
        <v>85</v>
      </c>
      <c r="AT179" t="s">
        <v>568</v>
      </c>
      <c r="AU179">
        <v>2024</v>
      </c>
      <c r="AV179">
        <v>351</v>
      </c>
      <c r="AW179" t="s">
        <v>85</v>
      </c>
      <c r="AX179" t="s">
        <v>85</v>
      </c>
      <c r="AY179" t="s">
        <v>85</v>
      </c>
      <c r="AZ179" t="s">
        <v>85</v>
      </c>
      <c r="BA179" t="s">
        <v>85</v>
      </c>
      <c r="BB179" t="s">
        <v>85</v>
      </c>
      <c r="BC179" t="s">
        <v>85</v>
      </c>
      <c r="BD179">
        <v>119727</v>
      </c>
      <c r="BE179" t="s">
        <v>4148</v>
      </c>
      <c r="BF179" t="str">
        <f>HYPERLINK("http://dx.doi.org/10.1016/j.jenvman.2023.119727","http://dx.doi.org/10.1016/j.jenvman.2023.119727")</f>
        <v>http://dx.doi.org/10.1016/j.jenvman.2023.119727</v>
      </c>
      <c r="BG179" t="s">
        <v>85</v>
      </c>
      <c r="BH179" t="s">
        <v>4149</v>
      </c>
      <c r="BI179" t="s">
        <v>85</v>
      </c>
      <c r="BJ179" t="s">
        <v>85</v>
      </c>
      <c r="BK179" t="s">
        <v>85</v>
      </c>
      <c r="BL179" t="s">
        <v>85</v>
      </c>
      <c r="BM179" t="s">
        <v>85</v>
      </c>
      <c r="BN179">
        <v>38070422</v>
      </c>
      <c r="BO179" t="s">
        <v>85</v>
      </c>
      <c r="BP179" t="s">
        <v>85</v>
      </c>
      <c r="BQ179" t="s">
        <v>85</v>
      </c>
      <c r="BR179" t="s">
        <v>85</v>
      </c>
      <c r="BS179" t="s">
        <v>4150</v>
      </c>
      <c r="BT179" t="str">
        <f>HYPERLINK("https%3A%2F%2Fwww.webofscience.com%2Fwos%2Fwoscc%2Ffull-record%2FWOS:001132540300001","View Full Record in Web of Science")</f>
        <v>View Full Record in Web of Science</v>
      </c>
      <c r="BW179"/>
      <c r="BX179"/>
      <c r="BY179"/>
      <c r="CA179"/>
      <c r="CB179"/>
    </row>
    <row r="180" spans="1:84">
      <c r="A180" t="s">
        <v>83</v>
      </c>
      <c r="B180" t="s">
        <v>4151</v>
      </c>
      <c r="C180" t="s">
        <v>85</v>
      </c>
      <c r="D180" t="s">
        <v>85</v>
      </c>
      <c r="E180" t="s">
        <v>85</v>
      </c>
      <c r="F180" t="s">
        <v>4152</v>
      </c>
      <c r="G180" t="s">
        <v>85</v>
      </c>
      <c r="H180" t="s">
        <v>85</v>
      </c>
      <c r="I180" t="s">
        <v>4153</v>
      </c>
      <c r="J180" t="s">
        <v>264</v>
      </c>
      <c r="K180" t="s">
        <v>85</v>
      </c>
      <c r="L180" t="s">
        <v>85</v>
      </c>
      <c r="M180" t="s">
        <v>85</v>
      </c>
      <c r="N180" t="s">
        <v>85</v>
      </c>
      <c r="O180" t="s">
        <v>85</v>
      </c>
      <c r="P180" t="s">
        <v>85</v>
      </c>
      <c r="Q180" t="s">
        <v>85</v>
      </c>
      <c r="R180" t="s">
        <v>85</v>
      </c>
      <c r="S180" t="s">
        <v>85</v>
      </c>
      <c r="T180" t="s">
        <v>85</v>
      </c>
      <c r="U180" t="s">
        <v>85</v>
      </c>
      <c r="V180" t="s">
        <v>85</v>
      </c>
      <c r="W180" t="s">
        <v>85</v>
      </c>
      <c r="X180" t="s">
        <v>85</v>
      </c>
      <c r="Y180" t="s">
        <v>85</v>
      </c>
      <c r="Z180" t="s">
        <v>85</v>
      </c>
      <c r="AA180" t="s">
        <v>4154</v>
      </c>
      <c r="AB180" t="s">
        <v>4155</v>
      </c>
      <c r="AC180" t="s">
        <v>85</v>
      </c>
      <c r="AD180" t="s">
        <v>85</v>
      </c>
      <c r="AE180" t="s">
        <v>85</v>
      </c>
      <c r="AF180" t="s">
        <v>85</v>
      </c>
      <c r="AG180" t="s">
        <v>85</v>
      </c>
      <c r="AH180" t="s">
        <v>85</v>
      </c>
      <c r="AI180" t="s">
        <v>85</v>
      </c>
      <c r="AJ180" t="s">
        <v>85</v>
      </c>
      <c r="AK180" t="s">
        <v>85</v>
      </c>
      <c r="AL180" t="s">
        <v>85</v>
      </c>
      <c r="AM180" t="s">
        <v>85</v>
      </c>
      <c r="AN180" t="s">
        <v>85</v>
      </c>
      <c r="AO180" t="s">
        <v>278</v>
      </c>
      <c r="AP180" t="s">
        <v>279</v>
      </c>
      <c r="AQ180" t="s">
        <v>85</v>
      </c>
      <c r="AR180" t="s">
        <v>85</v>
      </c>
      <c r="AS180" t="s">
        <v>85</v>
      </c>
      <c r="AT180" t="s">
        <v>329</v>
      </c>
      <c r="AU180">
        <v>2023</v>
      </c>
      <c r="AV180">
        <v>87</v>
      </c>
      <c r="AW180" t="s">
        <v>85</v>
      </c>
      <c r="AX180" t="s">
        <v>85</v>
      </c>
      <c r="AY180" t="s">
        <v>85</v>
      </c>
      <c r="AZ180" t="s">
        <v>85</v>
      </c>
      <c r="BA180" t="s">
        <v>85</v>
      </c>
      <c r="BB180" t="s">
        <v>85</v>
      </c>
      <c r="BC180" t="s">
        <v>85</v>
      </c>
      <c r="BD180">
        <v>128066</v>
      </c>
      <c r="BE180" t="s">
        <v>4156</v>
      </c>
      <c r="BF180" t="str">
        <f>HYPERLINK("http://dx.doi.org/10.1016/j.ufug.2023.128066","http://dx.doi.org/10.1016/j.ufug.2023.128066")</f>
        <v>http://dx.doi.org/10.1016/j.ufug.2023.128066</v>
      </c>
      <c r="BG180" t="s">
        <v>85</v>
      </c>
      <c r="BH180" t="s">
        <v>4157</v>
      </c>
      <c r="BI180" t="s">
        <v>85</v>
      </c>
      <c r="BJ180" t="s">
        <v>85</v>
      </c>
      <c r="BK180" t="s">
        <v>85</v>
      </c>
      <c r="BL180" t="s">
        <v>85</v>
      </c>
      <c r="BM180" t="s">
        <v>85</v>
      </c>
      <c r="BN180" t="s">
        <v>85</v>
      </c>
      <c r="BO180" t="s">
        <v>85</v>
      </c>
      <c r="BP180" t="s">
        <v>85</v>
      </c>
      <c r="BQ180" t="s">
        <v>85</v>
      </c>
      <c r="BR180" t="s">
        <v>85</v>
      </c>
      <c r="BS180" t="s">
        <v>4158</v>
      </c>
      <c r="BT180" t="str">
        <f>HYPERLINK("https%3A%2F%2Fwww.webofscience.com%2Fwos%2Fwoscc%2Ffull-record%2FWOS:001068813800001","View Full Record in Web of Science")</f>
        <v>View Full Record in Web of Science</v>
      </c>
      <c r="BW180"/>
      <c r="BX180"/>
      <c r="BY180"/>
      <c r="CA180"/>
      <c r="CB180"/>
    </row>
    <row r="181" spans="1:84">
      <c r="A181" t="s">
        <v>83</v>
      </c>
      <c r="B181" t="s">
        <v>261</v>
      </c>
      <c r="C181" t="s">
        <v>85</v>
      </c>
      <c r="D181" t="s">
        <v>85</v>
      </c>
      <c r="E181" t="s">
        <v>85</v>
      </c>
      <c r="F181" t="s">
        <v>262</v>
      </c>
      <c r="G181" t="s">
        <v>85</v>
      </c>
      <c r="H181" t="s">
        <v>85</v>
      </c>
      <c r="I181" t="s">
        <v>263</v>
      </c>
      <c r="J181" t="s">
        <v>264</v>
      </c>
      <c r="K181" t="s">
        <v>85</v>
      </c>
      <c r="L181" t="s">
        <v>85</v>
      </c>
      <c r="M181" t="s">
        <v>85</v>
      </c>
      <c r="N181" t="s">
        <v>85</v>
      </c>
      <c r="O181" t="s">
        <v>85</v>
      </c>
      <c r="P181" t="s">
        <v>85</v>
      </c>
      <c r="Q181" t="s">
        <v>85</v>
      </c>
      <c r="R181" t="s">
        <v>85</v>
      </c>
      <c r="S181" t="s">
        <v>85</v>
      </c>
      <c r="T181" t="s">
        <v>85</v>
      </c>
      <c r="U181" t="s">
        <v>85</v>
      </c>
      <c r="V181" t="s">
        <v>85</v>
      </c>
      <c r="W181" t="s">
        <v>85</v>
      </c>
      <c r="X181" t="s">
        <v>85</v>
      </c>
      <c r="Y181" t="s">
        <v>85</v>
      </c>
      <c r="Z181" t="s">
        <v>85</v>
      </c>
      <c r="AA181" t="s">
        <v>85</v>
      </c>
      <c r="AB181" t="s">
        <v>4159</v>
      </c>
      <c r="AC181" t="s">
        <v>85</v>
      </c>
      <c r="AD181" t="s">
        <v>85</v>
      </c>
      <c r="AE181" t="s">
        <v>85</v>
      </c>
      <c r="AF181" t="s">
        <v>85</v>
      </c>
      <c r="AG181" t="s">
        <v>85</v>
      </c>
      <c r="AH181" t="s">
        <v>85</v>
      </c>
      <c r="AI181" t="s">
        <v>85</v>
      </c>
      <c r="AJ181" t="s">
        <v>85</v>
      </c>
      <c r="AK181" t="s">
        <v>85</v>
      </c>
      <c r="AL181" t="s">
        <v>85</v>
      </c>
      <c r="AM181" t="s">
        <v>85</v>
      </c>
      <c r="AN181" t="s">
        <v>85</v>
      </c>
      <c r="AO181" t="s">
        <v>278</v>
      </c>
      <c r="AP181" t="s">
        <v>279</v>
      </c>
      <c r="AQ181" t="s">
        <v>85</v>
      </c>
      <c r="AR181" t="s">
        <v>85</v>
      </c>
      <c r="AS181" t="s">
        <v>85</v>
      </c>
      <c r="AT181" t="s">
        <v>143</v>
      </c>
      <c r="AU181">
        <v>2023</v>
      </c>
      <c r="AV181">
        <v>85</v>
      </c>
      <c r="AW181" t="s">
        <v>85</v>
      </c>
      <c r="AX181" t="s">
        <v>85</v>
      </c>
      <c r="AY181" t="s">
        <v>85</v>
      </c>
      <c r="AZ181" t="s">
        <v>85</v>
      </c>
      <c r="BA181" t="s">
        <v>85</v>
      </c>
      <c r="BB181" t="s">
        <v>85</v>
      </c>
      <c r="BC181" t="s">
        <v>85</v>
      </c>
      <c r="BD181">
        <v>127977</v>
      </c>
      <c r="BE181" t="s">
        <v>282</v>
      </c>
      <c r="BF181" t="str">
        <f>HYPERLINK("http://dx.doi.org/10.1016/j.ufug.2023.127977","http://dx.doi.org/10.1016/j.ufug.2023.127977")</f>
        <v>http://dx.doi.org/10.1016/j.ufug.2023.127977</v>
      </c>
      <c r="BG181" t="s">
        <v>85</v>
      </c>
      <c r="BH181" t="s">
        <v>283</v>
      </c>
      <c r="BI181" t="s">
        <v>85</v>
      </c>
      <c r="BJ181" t="s">
        <v>85</v>
      </c>
      <c r="BK181" t="s">
        <v>85</v>
      </c>
      <c r="BL181" t="s">
        <v>85</v>
      </c>
      <c r="BM181" t="s">
        <v>85</v>
      </c>
      <c r="BN181" t="s">
        <v>85</v>
      </c>
      <c r="BO181" t="s">
        <v>85</v>
      </c>
      <c r="BP181" t="s">
        <v>85</v>
      </c>
      <c r="BQ181" t="s">
        <v>85</v>
      </c>
      <c r="BR181" t="s">
        <v>85</v>
      </c>
      <c r="BS181" t="s">
        <v>287</v>
      </c>
      <c r="BT181" t="str">
        <f>HYPERLINK("https%3A%2F%2Fwww.webofscience.com%2Fwos%2Fwoscc%2Ffull-record%2FWOS:001013925000001","View Full Record in Web of Science")</f>
        <v>View Full Record in Web of Science</v>
      </c>
      <c r="BW181"/>
      <c r="BX181"/>
      <c r="BY181"/>
      <c r="CA181"/>
      <c r="CB181"/>
    </row>
    <row r="182" spans="1:84">
      <c r="A182" t="s">
        <v>83</v>
      </c>
      <c r="B182" t="s">
        <v>496</v>
      </c>
      <c r="C182" t="s">
        <v>85</v>
      </c>
      <c r="D182" t="s">
        <v>85</v>
      </c>
      <c r="E182" t="s">
        <v>85</v>
      </c>
      <c r="F182" t="s">
        <v>497</v>
      </c>
      <c r="G182" t="s">
        <v>85</v>
      </c>
      <c r="H182" t="s">
        <v>85</v>
      </c>
      <c r="I182" t="s">
        <v>498</v>
      </c>
      <c r="J182" t="s">
        <v>499</v>
      </c>
      <c r="K182" t="s">
        <v>85</v>
      </c>
      <c r="L182" t="s">
        <v>85</v>
      </c>
      <c r="M182" t="s">
        <v>85</v>
      </c>
      <c r="N182" t="s">
        <v>85</v>
      </c>
      <c r="O182" t="s">
        <v>85</v>
      </c>
      <c r="P182" t="s">
        <v>85</v>
      </c>
      <c r="Q182" t="s">
        <v>85</v>
      </c>
      <c r="R182" t="s">
        <v>85</v>
      </c>
      <c r="S182" t="s">
        <v>85</v>
      </c>
      <c r="T182" t="s">
        <v>85</v>
      </c>
      <c r="U182" t="s">
        <v>85</v>
      </c>
      <c r="V182" t="s">
        <v>85</v>
      </c>
      <c r="W182" t="s">
        <v>85</v>
      </c>
      <c r="X182" t="s">
        <v>85</v>
      </c>
      <c r="Y182" t="s">
        <v>85</v>
      </c>
      <c r="Z182" t="s">
        <v>85</v>
      </c>
      <c r="AA182" t="s">
        <v>507</v>
      </c>
      <c r="AB182" t="s">
        <v>4160</v>
      </c>
      <c r="AC182" t="s">
        <v>85</v>
      </c>
      <c r="AD182" t="s">
        <v>85</v>
      </c>
      <c r="AE182" t="s">
        <v>85</v>
      </c>
      <c r="AF182" t="s">
        <v>85</v>
      </c>
      <c r="AG182" t="s">
        <v>85</v>
      </c>
      <c r="AH182" t="s">
        <v>85</v>
      </c>
      <c r="AI182" t="s">
        <v>85</v>
      </c>
      <c r="AJ182" t="s">
        <v>85</v>
      </c>
      <c r="AK182" t="s">
        <v>85</v>
      </c>
      <c r="AL182" t="s">
        <v>85</v>
      </c>
      <c r="AM182" t="s">
        <v>85</v>
      </c>
      <c r="AN182" t="s">
        <v>85</v>
      </c>
      <c r="AO182" t="s">
        <v>509</v>
      </c>
      <c r="AP182" t="s">
        <v>510</v>
      </c>
      <c r="AQ182" t="s">
        <v>85</v>
      </c>
      <c r="AR182" t="s">
        <v>85</v>
      </c>
      <c r="AS182" t="s">
        <v>85</v>
      </c>
      <c r="AT182" t="s">
        <v>513</v>
      </c>
      <c r="AU182">
        <v>2023</v>
      </c>
      <c r="AV182">
        <v>249</v>
      </c>
      <c r="AW182" t="s">
        <v>85</v>
      </c>
      <c r="AX182" t="s">
        <v>85</v>
      </c>
      <c r="AY182" t="s">
        <v>85</v>
      </c>
      <c r="AZ182" t="s">
        <v>85</v>
      </c>
      <c r="BA182" t="s">
        <v>85</v>
      </c>
      <c r="BB182" t="s">
        <v>85</v>
      </c>
      <c r="BC182" t="s">
        <v>85</v>
      </c>
      <c r="BD182">
        <v>114137</v>
      </c>
      <c r="BE182" t="s">
        <v>514</v>
      </c>
      <c r="BF182" t="str">
        <f>HYPERLINK("http://dx.doi.org/10.1016/j.ijheh.2023.114137","http://dx.doi.org/10.1016/j.ijheh.2023.114137")</f>
        <v>http://dx.doi.org/10.1016/j.ijheh.2023.114137</v>
      </c>
      <c r="BG182" t="s">
        <v>85</v>
      </c>
      <c r="BH182" t="s">
        <v>487</v>
      </c>
      <c r="BI182" t="s">
        <v>85</v>
      </c>
      <c r="BJ182" t="s">
        <v>85</v>
      </c>
      <c r="BK182" t="s">
        <v>85</v>
      </c>
      <c r="BL182" t="s">
        <v>85</v>
      </c>
      <c r="BM182" t="s">
        <v>85</v>
      </c>
      <c r="BN182">
        <v>36806046</v>
      </c>
      <c r="BO182" t="s">
        <v>85</v>
      </c>
      <c r="BP182" t="s">
        <v>85</v>
      </c>
      <c r="BQ182" t="s">
        <v>85</v>
      </c>
      <c r="BR182" t="s">
        <v>85</v>
      </c>
      <c r="BS182" t="s">
        <v>517</v>
      </c>
      <c r="BT182" t="str">
        <f>HYPERLINK("https%3A%2F%2Fwww.webofscience.com%2Fwos%2Fwoscc%2Ffull-record%2FWOS:000946300700001","View Full Record in Web of Science")</f>
        <v>View Full Record in Web of Science</v>
      </c>
      <c r="BW182"/>
      <c r="BX182"/>
      <c r="BY182"/>
      <c r="CA182"/>
      <c r="CB182"/>
    </row>
    <row r="183" spans="1:84">
      <c r="A183" t="s">
        <v>83</v>
      </c>
      <c r="B183" t="s">
        <v>242</v>
      </c>
      <c r="C183" t="s">
        <v>85</v>
      </c>
      <c r="D183" t="s">
        <v>85</v>
      </c>
      <c r="E183" t="s">
        <v>85</v>
      </c>
      <c r="F183" t="s">
        <v>243</v>
      </c>
      <c r="G183" t="s">
        <v>85</v>
      </c>
      <c r="H183" t="s">
        <v>85</v>
      </c>
      <c r="I183" t="s">
        <v>244</v>
      </c>
      <c r="J183" t="s">
        <v>129</v>
      </c>
      <c r="K183" t="s">
        <v>85</v>
      </c>
      <c r="L183" t="s">
        <v>85</v>
      </c>
      <c r="M183" t="s">
        <v>85</v>
      </c>
      <c r="N183" t="s">
        <v>85</v>
      </c>
      <c r="O183" t="s">
        <v>85</v>
      </c>
      <c r="P183" t="s">
        <v>85</v>
      </c>
      <c r="Q183" t="s">
        <v>85</v>
      </c>
      <c r="R183" t="s">
        <v>85</v>
      </c>
      <c r="S183" t="s">
        <v>85</v>
      </c>
      <c r="T183" t="s">
        <v>85</v>
      </c>
      <c r="U183" t="s">
        <v>85</v>
      </c>
      <c r="V183" t="s">
        <v>85</v>
      </c>
      <c r="W183" t="s">
        <v>85</v>
      </c>
      <c r="X183" t="s">
        <v>85</v>
      </c>
      <c r="Y183" t="s">
        <v>85</v>
      </c>
      <c r="Z183" t="s">
        <v>85</v>
      </c>
      <c r="AA183" t="s">
        <v>85</v>
      </c>
      <c r="AB183" t="s">
        <v>3527</v>
      </c>
      <c r="AC183" t="s">
        <v>85</v>
      </c>
      <c r="AD183" t="s">
        <v>85</v>
      </c>
      <c r="AE183" t="s">
        <v>85</v>
      </c>
      <c r="AF183" t="s">
        <v>85</v>
      </c>
      <c r="AG183" t="s">
        <v>85</v>
      </c>
      <c r="AH183" t="s">
        <v>85</v>
      </c>
      <c r="AI183" t="s">
        <v>85</v>
      </c>
      <c r="AJ183" t="s">
        <v>85</v>
      </c>
      <c r="AK183" t="s">
        <v>85</v>
      </c>
      <c r="AL183" t="s">
        <v>85</v>
      </c>
      <c r="AM183" t="s">
        <v>85</v>
      </c>
      <c r="AN183" t="s">
        <v>85</v>
      </c>
      <c r="AO183" t="s">
        <v>85</v>
      </c>
      <c r="AP183" t="s">
        <v>140</v>
      </c>
      <c r="AQ183" t="s">
        <v>85</v>
      </c>
      <c r="AR183" t="s">
        <v>85</v>
      </c>
      <c r="AS183" t="s">
        <v>85</v>
      </c>
      <c r="AT183" t="s">
        <v>252</v>
      </c>
      <c r="AU183">
        <v>2023</v>
      </c>
      <c r="AV183">
        <v>12</v>
      </c>
      <c r="AW183">
        <v>6</v>
      </c>
      <c r="AX183" t="s">
        <v>85</v>
      </c>
      <c r="AY183" t="s">
        <v>85</v>
      </c>
      <c r="AZ183" t="s">
        <v>85</v>
      </c>
      <c r="BA183" t="s">
        <v>85</v>
      </c>
      <c r="BB183" t="s">
        <v>85</v>
      </c>
      <c r="BC183" t="s">
        <v>85</v>
      </c>
      <c r="BD183">
        <v>1137</v>
      </c>
      <c r="BE183" t="s">
        <v>253</v>
      </c>
      <c r="BF183" t="str">
        <f>HYPERLINK("http://dx.doi.org/10.3390/land12061137","http://dx.doi.org/10.3390/land12061137")</f>
        <v>http://dx.doi.org/10.3390/land12061137</v>
      </c>
      <c r="BG183" t="s">
        <v>85</v>
      </c>
      <c r="BH183" t="s">
        <v>85</v>
      </c>
      <c r="BI183" t="s">
        <v>85</v>
      </c>
      <c r="BJ183" t="s">
        <v>85</v>
      </c>
      <c r="BK183" t="s">
        <v>85</v>
      </c>
      <c r="BL183" t="s">
        <v>85</v>
      </c>
      <c r="BM183" t="s">
        <v>85</v>
      </c>
      <c r="BN183" t="s">
        <v>85</v>
      </c>
      <c r="BO183" t="s">
        <v>85</v>
      </c>
      <c r="BP183" t="s">
        <v>85</v>
      </c>
      <c r="BQ183" t="s">
        <v>85</v>
      </c>
      <c r="BR183" t="s">
        <v>85</v>
      </c>
      <c r="BS183" t="s">
        <v>255</v>
      </c>
      <c r="BT183" t="str">
        <f>HYPERLINK("https%3A%2F%2Fwww.webofscience.com%2Fwos%2Fwoscc%2Ffull-record%2FWOS:001017315100001","View Full Record in Web of Science")</f>
        <v>View Full Record in Web of Science</v>
      </c>
      <c r="BW183"/>
      <c r="BX183"/>
      <c r="BY183"/>
      <c r="CA183"/>
      <c r="CB183"/>
    </row>
    <row r="184" spans="1:84">
      <c r="A184" t="s">
        <v>83</v>
      </c>
      <c r="B184" t="s">
        <v>410</v>
      </c>
      <c r="C184" t="s">
        <v>85</v>
      </c>
      <c r="D184" t="s">
        <v>85</v>
      </c>
      <c r="E184" t="s">
        <v>85</v>
      </c>
      <c r="F184" t="s">
        <v>411</v>
      </c>
      <c r="G184" t="s">
        <v>85</v>
      </c>
      <c r="H184" t="s">
        <v>85</v>
      </c>
      <c r="I184" t="s">
        <v>412</v>
      </c>
      <c r="J184" t="s">
        <v>312</v>
      </c>
      <c r="K184" t="s">
        <v>85</v>
      </c>
      <c r="L184" t="s">
        <v>85</v>
      </c>
      <c r="M184" t="s">
        <v>85</v>
      </c>
      <c r="N184" t="s">
        <v>85</v>
      </c>
      <c r="O184" t="s">
        <v>85</v>
      </c>
      <c r="P184" t="s">
        <v>85</v>
      </c>
      <c r="Q184" t="s">
        <v>85</v>
      </c>
      <c r="R184" t="s">
        <v>85</v>
      </c>
      <c r="S184" t="s">
        <v>85</v>
      </c>
      <c r="T184" t="s">
        <v>85</v>
      </c>
      <c r="U184" t="s">
        <v>85</v>
      </c>
      <c r="V184" t="s">
        <v>85</v>
      </c>
      <c r="W184" t="s">
        <v>85</v>
      </c>
      <c r="X184" t="s">
        <v>85</v>
      </c>
      <c r="Y184" t="s">
        <v>85</v>
      </c>
      <c r="Z184" t="s">
        <v>85</v>
      </c>
      <c r="AA184" t="s">
        <v>420</v>
      </c>
      <c r="AB184" t="s">
        <v>421</v>
      </c>
      <c r="AC184" t="s">
        <v>85</v>
      </c>
      <c r="AD184" t="s">
        <v>85</v>
      </c>
      <c r="AE184" t="s">
        <v>85</v>
      </c>
      <c r="AF184" t="s">
        <v>85</v>
      </c>
      <c r="AG184" t="s">
        <v>85</v>
      </c>
      <c r="AH184" t="s">
        <v>85</v>
      </c>
      <c r="AI184" t="s">
        <v>85</v>
      </c>
      <c r="AJ184" t="s">
        <v>85</v>
      </c>
      <c r="AK184" t="s">
        <v>85</v>
      </c>
      <c r="AL184" t="s">
        <v>85</v>
      </c>
      <c r="AM184" t="s">
        <v>85</v>
      </c>
      <c r="AN184" t="s">
        <v>85</v>
      </c>
      <c r="AO184" t="s">
        <v>325</v>
      </c>
      <c r="AP184" t="s">
        <v>326</v>
      </c>
      <c r="AQ184" t="s">
        <v>85</v>
      </c>
      <c r="AR184" t="s">
        <v>85</v>
      </c>
      <c r="AS184" t="s">
        <v>85</v>
      </c>
      <c r="AT184" t="s">
        <v>143</v>
      </c>
      <c r="AU184">
        <v>2023</v>
      </c>
      <c r="AV184">
        <v>235</v>
      </c>
      <c r="AW184" t="s">
        <v>85</v>
      </c>
      <c r="AX184" t="s">
        <v>85</v>
      </c>
      <c r="AY184" t="s">
        <v>85</v>
      </c>
      <c r="AZ184" t="s">
        <v>85</v>
      </c>
      <c r="BA184" t="s">
        <v>85</v>
      </c>
      <c r="BB184" t="s">
        <v>85</v>
      </c>
      <c r="BC184" t="s">
        <v>85</v>
      </c>
      <c r="BD184">
        <v>104739</v>
      </c>
      <c r="BE184" t="s">
        <v>425</v>
      </c>
      <c r="BF184" t="str">
        <f>HYPERLINK("http://dx.doi.org/10.1016/j.landurbplan.2023.104739","http://dx.doi.org/10.1016/j.landurbplan.2023.104739")</f>
        <v>http://dx.doi.org/10.1016/j.landurbplan.2023.104739</v>
      </c>
      <c r="BG184" t="s">
        <v>85</v>
      </c>
      <c r="BH184" t="s">
        <v>403</v>
      </c>
      <c r="BI184" t="s">
        <v>85</v>
      </c>
      <c r="BJ184" t="s">
        <v>85</v>
      </c>
      <c r="BK184" t="s">
        <v>85</v>
      </c>
      <c r="BL184" t="s">
        <v>85</v>
      </c>
      <c r="BM184" t="s">
        <v>85</v>
      </c>
      <c r="BN184" t="s">
        <v>85</v>
      </c>
      <c r="BO184" t="s">
        <v>85</v>
      </c>
      <c r="BP184" t="s">
        <v>85</v>
      </c>
      <c r="BQ184" t="s">
        <v>85</v>
      </c>
      <c r="BR184" t="s">
        <v>85</v>
      </c>
      <c r="BS184" t="s">
        <v>428</v>
      </c>
      <c r="BT184" t="str">
        <f>HYPERLINK("https%3A%2F%2Fwww.webofscience.com%2Fwos%2Fwoscc%2Ffull-record%2FWOS:000955921200001","View Full Record in Web of Science")</f>
        <v>View Full Record in Web of Science</v>
      </c>
      <c r="BW184"/>
      <c r="BX184"/>
      <c r="BY184"/>
      <c r="CA184"/>
      <c r="CB184"/>
    </row>
    <row r="185" spans="1:84">
      <c r="A185" t="s">
        <v>83</v>
      </c>
      <c r="B185" t="s">
        <v>84</v>
      </c>
      <c r="C185" t="s">
        <v>85</v>
      </c>
      <c r="D185" t="s">
        <v>85</v>
      </c>
      <c r="E185" t="s">
        <v>85</v>
      </c>
      <c r="F185" t="s">
        <v>86</v>
      </c>
      <c r="G185" t="s">
        <v>85</v>
      </c>
      <c r="H185" t="s">
        <v>85</v>
      </c>
      <c r="I185" t="s">
        <v>87</v>
      </c>
      <c r="J185" t="s">
        <v>88</v>
      </c>
      <c r="K185" t="s">
        <v>85</v>
      </c>
      <c r="L185" t="s">
        <v>85</v>
      </c>
      <c r="M185" t="s">
        <v>85</v>
      </c>
      <c r="N185" t="s">
        <v>85</v>
      </c>
      <c r="O185" t="s">
        <v>85</v>
      </c>
      <c r="P185" t="s">
        <v>85</v>
      </c>
      <c r="Q185" t="s">
        <v>85</v>
      </c>
      <c r="R185" t="s">
        <v>85</v>
      </c>
      <c r="S185" t="s">
        <v>85</v>
      </c>
      <c r="T185" t="s">
        <v>85</v>
      </c>
      <c r="U185" t="s">
        <v>85</v>
      </c>
      <c r="V185" t="s">
        <v>85</v>
      </c>
      <c r="W185" t="s">
        <v>85</v>
      </c>
      <c r="X185" t="s">
        <v>85</v>
      </c>
      <c r="Y185" t="s">
        <v>85</v>
      </c>
      <c r="Z185" t="s">
        <v>85</v>
      </c>
      <c r="AA185" t="s">
        <v>4161</v>
      </c>
      <c r="AB185" t="s">
        <v>4162</v>
      </c>
      <c r="AC185" t="s">
        <v>85</v>
      </c>
      <c r="AD185" t="s">
        <v>85</v>
      </c>
      <c r="AE185" t="s">
        <v>85</v>
      </c>
      <c r="AF185" t="s">
        <v>85</v>
      </c>
      <c r="AG185" t="s">
        <v>85</v>
      </c>
      <c r="AH185" t="s">
        <v>85</v>
      </c>
      <c r="AI185" t="s">
        <v>85</v>
      </c>
      <c r="AJ185" t="s">
        <v>85</v>
      </c>
      <c r="AK185" t="s">
        <v>85</v>
      </c>
      <c r="AL185" t="s">
        <v>85</v>
      </c>
      <c r="AM185" t="s">
        <v>85</v>
      </c>
      <c r="AN185" t="s">
        <v>85</v>
      </c>
      <c r="AO185" t="s">
        <v>104</v>
      </c>
      <c r="AP185" t="s">
        <v>105</v>
      </c>
      <c r="AQ185" t="s">
        <v>85</v>
      </c>
      <c r="AR185" t="s">
        <v>85</v>
      </c>
      <c r="AS185" t="s">
        <v>85</v>
      </c>
      <c r="AT185" t="s">
        <v>108</v>
      </c>
      <c r="AU185">
        <v>2023</v>
      </c>
      <c r="AV185">
        <v>178</v>
      </c>
      <c r="AW185" t="s">
        <v>85</v>
      </c>
      <c r="AX185" t="s">
        <v>85</v>
      </c>
      <c r="AY185" t="s">
        <v>85</v>
      </c>
      <c r="AZ185" t="s">
        <v>85</v>
      </c>
      <c r="BA185" t="s">
        <v>85</v>
      </c>
      <c r="BB185" t="s">
        <v>85</v>
      </c>
      <c r="BC185" t="s">
        <v>85</v>
      </c>
      <c r="BD185">
        <v>108077</v>
      </c>
      <c r="BE185" t="s">
        <v>109</v>
      </c>
      <c r="BF185" t="str">
        <f>HYPERLINK("http://dx.doi.org/10.1016/j.envint.2023.108077","http://dx.doi.org/10.1016/j.envint.2023.108077")</f>
        <v>http://dx.doi.org/10.1016/j.envint.2023.108077</v>
      </c>
      <c r="BG185" t="s">
        <v>85</v>
      </c>
      <c r="BH185" t="s">
        <v>110</v>
      </c>
      <c r="BI185" t="s">
        <v>85</v>
      </c>
      <c r="BJ185" t="s">
        <v>85</v>
      </c>
      <c r="BK185" t="s">
        <v>85</v>
      </c>
      <c r="BL185" t="s">
        <v>85</v>
      </c>
      <c r="BM185" t="s">
        <v>85</v>
      </c>
      <c r="BN185">
        <v>37413929</v>
      </c>
      <c r="BO185" t="s">
        <v>85</v>
      </c>
      <c r="BP185" t="s">
        <v>85</v>
      </c>
      <c r="BQ185" t="s">
        <v>85</v>
      </c>
      <c r="BR185" t="s">
        <v>85</v>
      </c>
      <c r="BS185" t="s">
        <v>117</v>
      </c>
      <c r="BT185" t="str">
        <f>HYPERLINK("https%3A%2F%2Fwww.webofscience.com%2Fwos%2Fwoscc%2Ffull-record%2FWOS:001039821800001","View Full Record in Web of Science")</f>
        <v>View Full Record in Web of Science</v>
      </c>
      <c r="BW185"/>
      <c r="BX185"/>
      <c r="BY185"/>
      <c r="CA185"/>
      <c r="CB185"/>
    </row>
    <row r="186" spans="1:84">
      <c r="A186" t="s">
        <v>83</v>
      </c>
      <c r="B186" t="s">
        <v>391</v>
      </c>
      <c r="C186" t="s">
        <v>85</v>
      </c>
      <c r="D186" t="s">
        <v>85</v>
      </c>
      <c r="E186" t="s">
        <v>85</v>
      </c>
      <c r="F186" t="s">
        <v>392</v>
      </c>
      <c r="G186" t="s">
        <v>85</v>
      </c>
      <c r="H186" t="s">
        <v>85</v>
      </c>
      <c r="I186" t="s">
        <v>393</v>
      </c>
      <c r="J186" t="s">
        <v>312</v>
      </c>
      <c r="K186" t="s">
        <v>85</v>
      </c>
      <c r="L186" t="s">
        <v>85</v>
      </c>
      <c r="M186" t="s">
        <v>85</v>
      </c>
      <c r="N186" t="s">
        <v>85</v>
      </c>
      <c r="O186" t="s">
        <v>85</v>
      </c>
      <c r="P186" t="s">
        <v>85</v>
      </c>
      <c r="Q186" t="s">
        <v>85</v>
      </c>
      <c r="R186" t="s">
        <v>85</v>
      </c>
      <c r="S186" t="s">
        <v>85</v>
      </c>
      <c r="T186" t="s">
        <v>85</v>
      </c>
      <c r="U186" t="s">
        <v>85</v>
      </c>
      <c r="V186" t="s">
        <v>85</v>
      </c>
      <c r="W186" t="s">
        <v>85</v>
      </c>
      <c r="X186" t="s">
        <v>85</v>
      </c>
      <c r="Y186" t="s">
        <v>85</v>
      </c>
      <c r="Z186" t="s">
        <v>85</v>
      </c>
      <c r="AA186" t="s">
        <v>85</v>
      </c>
      <c r="AB186" t="s">
        <v>401</v>
      </c>
      <c r="AC186" t="s">
        <v>85</v>
      </c>
      <c r="AD186" t="s">
        <v>85</v>
      </c>
      <c r="AE186" t="s">
        <v>85</v>
      </c>
      <c r="AF186" t="s">
        <v>85</v>
      </c>
      <c r="AG186" t="s">
        <v>85</v>
      </c>
      <c r="AH186" t="s">
        <v>85</v>
      </c>
      <c r="AI186" t="s">
        <v>85</v>
      </c>
      <c r="AJ186" t="s">
        <v>85</v>
      </c>
      <c r="AK186" t="s">
        <v>85</v>
      </c>
      <c r="AL186" t="s">
        <v>85</v>
      </c>
      <c r="AM186" t="s">
        <v>85</v>
      </c>
      <c r="AN186" t="s">
        <v>85</v>
      </c>
      <c r="AO186" t="s">
        <v>325</v>
      </c>
      <c r="AP186" t="s">
        <v>326</v>
      </c>
      <c r="AQ186" t="s">
        <v>85</v>
      </c>
      <c r="AR186" t="s">
        <v>85</v>
      </c>
      <c r="AS186" t="s">
        <v>85</v>
      </c>
      <c r="AT186" t="s">
        <v>143</v>
      </c>
      <c r="AU186">
        <v>2023</v>
      </c>
      <c r="AV186">
        <v>235</v>
      </c>
      <c r="AW186" t="s">
        <v>85</v>
      </c>
      <c r="AX186" t="s">
        <v>85</v>
      </c>
      <c r="AY186" t="s">
        <v>85</v>
      </c>
      <c r="AZ186" t="s">
        <v>85</v>
      </c>
      <c r="BA186" t="s">
        <v>85</v>
      </c>
      <c r="BB186" t="s">
        <v>85</v>
      </c>
      <c r="BC186" t="s">
        <v>85</v>
      </c>
      <c r="BD186">
        <v>104753</v>
      </c>
      <c r="BE186" t="s">
        <v>402</v>
      </c>
      <c r="BF186" t="str">
        <f>HYPERLINK("http://dx.doi.org/10.1016/j.landurbplan.2023.104753","http://dx.doi.org/10.1016/j.landurbplan.2023.104753")</f>
        <v>http://dx.doi.org/10.1016/j.landurbplan.2023.104753</v>
      </c>
      <c r="BG186" t="s">
        <v>85</v>
      </c>
      <c r="BH186" t="s">
        <v>403</v>
      </c>
      <c r="BI186" t="s">
        <v>85</v>
      </c>
      <c r="BJ186" t="s">
        <v>85</v>
      </c>
      <c r="BK186" t="s">
        <v>85</v>
      </c>
      <c r="BL186" t="s">
        <v>85</v>
      </c>
      <c r="BM186" t="s">
        <v>85</v>
      </c>
      <c r="BN186" t="s">
        <v>85</v>
      </c>
      <c r="BO186" t="s">
        <v>85</v>
      </c>
      <c r="BP186" t="s">
        <v>85</v>
      </c>
      <c r="BQ186" t="s">
        <v>85</v>
      </c>
      <c r="BR186" t="s">
        <v>85</v>
      </c>
      <c r="BS186" t="s">
        <v>405</v>
      </c>
      <c r="BT186" t="str">
        <f>HYPERLINK("https%3A%2F%2Fwww.webofscience.com%2Fwos%2Fwoscc%2Ffull-record%2FWOS:000965089200001","View Full Record in Web of Science")</f>
        <v>View Full Record in Web of Science</v>
      </c>
      <c r="BW186"/>
      <c r="BX186"/>
      <c r="BY186"/>
      <c r="CA186"/>
      <c r="CB186"/>
    </row>
    <row r="187" spans="1:84">
      <c r="A187" t="s">
        <v>83</v>
      </c>
      <c r="B187" t="s">
        <v>4163</v>
      </c>
      <c r="C187" t="s">
        <v>85</v>
      </c>
      <c r="D187" t="s">
        <v>85</v>
      </c>
      <c r="E187" t="s">
        <v>85</v>
      </c>
      <c r="F187" t="s">
        <v>651</v>
      </c>
      <c r="G187" t="s">
        <v>85</v>
      </c>
      <c r="H187" t="s">
        <v>85</v>
      </c>
      <c r="I187" t="s">
        <v>652</v>
      </c>
      <c r="J187" t="s">
        <v>129</v>
      </c>
      <c r="K187" t="s">
        <v>85</v>
      </c>
      <c r="L187" t="s">
        <v>85</v>
      </c>
      <c r="M187" t="s">
        <v>85</v>
      </c>
      <c r="N187" t="s">
        <v>85</v>
      </c>
      <c r="O187" t="s">
        <v>85</v>
      </c>
      <c r="P187" t="s">
        <v>85</v>
      </c>
      <c r="Q187" t="s">
        <v>85</v>
      </c>
      <c r="R187" t="s">
        <v>85</v>
      </c>
      <c r="S187" t="s">
        <v>85</v>
      </c>
      <c r="T187" t="s">
        <v>85</v>
      </c>
      <c r="U187" t="s">
        <v>85</v>
      </c>
      <c r="V187" t="s">
        <v>85</v>
      </c>
      <c r="W187" t="s">
        <v>85</v>
      </c>
      <c r="X187" t="s">
        <v>85</v>
      </c>
      <c r="Y187" t="s">
        <v>85</v>
      </c>
      <c r="Z187" t="s">
        <v>85</v>
      </c>
      <c r="AA187" t="s">
        <v>85</v>
      </c>
      <c r="AB187" t="s">
        <v>4164</v>
      </c>
      <c r="AC187" t="s">
        <v>85</v>
      </c>
      <c r="AD187" t="s">
        <v>85</v>
      </c>
      <c r="AE187" t="s">
        <v>85</v>
      </c>
      <c r="AF187" t="s">
        <v>85</v>
      </c>
      <c r="AG187" t="s">
        <v>85</v>
      </c>
      <c r="AH187" t="s">
        <v>85</v>
      </c>
      <c r="AI187" t="s">
        <v>85</v>
      </c>
      <c r="AJ187" t="s">
        <v>85</v>
      </c>
      <c r="AK187" t="s">
        <v>85</v>
      </c>
      <c r="AL187" t="s">
        <v>85</v>
      </c>
      <c r="AM187" t="s">
        <v>85</v>
      </c>
      <c r="AN187" t="s">
        <v>85</v>
      </c>
      <c r="AO187" t="s">
        <v>85</v>
      </c>
      <c r="AP187" t="s">
        <v>140</v>
      </c>
      <c r="AQ187" t="s">
        <v>85</v>
      </c>
      <c r="AR187" t="s">
        <v>85</v>
      </c>
      <c r="AS187" t="s">
        <v>85</v>
      </c>
      <c r="AT187" t="s">
        <v>544</v>
      </c>
      <c r="AU187">
        <v>2023</v>
      </c>
      <c r="AV187">
        <v>12</v>
      </c>
      <c r="AW187">
        <v>1</v>
      </c>
      <c r="AX187" t="s">
        <v>85</v>
      </c>
      <c r="AY187" t="s">
        <v>85</v>
      </c>
      <c r="AZ187" t="s">
        <v>85</v>
      </c>
      <c r="BA187" t="s">
        <v>85</v>
      </c>
      <c r="BB187" t="s">
        <v>85</v>
      </c>
      <c r="BC187" t="s">
        <v>85</v>
      </c>
      <c r="BD187">
        <v>228</v>
      </c>
      <c r="BE187" t="s">
        <v>663</v>
      </c>
      <c r="BF187" t="str">
        <f>HYPERLINK("http://dx.doi.org/10.3390/land12010228","http://dx.doi.org/10.3390/land12010228")</f>
        <v>http://dx.doi.org/10.3390/land12010228</v>
      </c>
      <c r="BG187" t="s">
        <v>85</v>
      </c>
      <c r="BH187" t="s">
        <v>85</v>
      </c>
      <c r="BI187" t="s">
        <v>85</v>
      </c>
      <c r="BJ187" t="s">
        <v>85</v>
      </c>
      <c r="BK187" t="s">
        <v>85</v>
      </c>
      <c r="BL187" t="s">
        <v>85</v>
      </c>
      <c r="BM187" t="s">
        <v>85</v>
      </c>
      <c r="BN187" t="s">
        <v>85</v>
      </c>
      <c r="BO187" t="s">
        <v>85</v>
      </c>
      <c r="BP187" t="s">
        <v>85</v>
      </c>
      <c r="BQ187" t="s">
        <v>85</v>
      </c>
      <c r="BR187" t="s">
        <v>85</v>
      </c>
      <c r="BS187" t="s">
        <v>665</v>
      </c>
      <c r="BT187" t="str">
        <f>HYPERLINK("https%3A%2F%2Fwww.webofscience.com%2Fwos%2Fwoscc%2Ffull-record%2FWOS:000917762100001","View Full Record in Web of Science")</f>
        <v>View Full Record in Web of Science</v>
      </c>
      <c r="BW187"/>
      <c r="BX187"/>
      <c r="BY187"/>
      <c r="CA187"/>
      <c r="CB187"/>
    </row>
    <row r="188" spans="1:84">
      <c r="A188" t="s">
        <v>83</v>
      </c>
      <c r="B188" t="s">
        <v>4165</v>
      </c>
      <c r="C188" t="s">
        <v>85</v>
      </c>
      <c r="D188" t="s">
        <v>85</v>
      </c>
      <c r="E188" t="s">
        <v>85</v>
      </c>
      <c r="F188" t="s">
        <v>4166</v>
      </c>
      <c r="G188" t="s">
        <v>85</v>
      </c>
      <c r="H188" t="s">
        <v>85</v>
      </c>
      <c r="I188" t="s">
        <v>4167</v>
      </c>
      <c r="J188" t="s">
        <v>4168</v>
      </c>
      <c r="K188" t="s">
        <v>85</v>
      </c>
      <c r="L188" t="s">
        <v>85</v>
      </c>
      <c r="M188" t="s">
        <v>85</v>
      </c>
      <c r="N188" t="s">
        <v>85</v>
      </c>
      <c r="O188" t="s">
        <v>85</v>
      </c>
      <c r="P188" t="s">
        <v>85</v>
      </c>
      <c r="Q188" t="s">
        <v>85</v>
      </c>
      <c r="R188" t="s">
        <v>85</v>
      </c>
      <c r="S188" t="s">
        <v>85</v>
      </c>
      <c r="T188" t="s">
        <v>85</v>
      </c>
      <c r="U188" t="s">
        <v>85</v>
      </c>
      <c r="V188" t="s">
        <v>85</v>
      </c>
      <c r="W188" t="s">
        <v>85</v>
      </c>
      <c r="X188" t="s">
        <v>85</v>
      </c>
      <c r="Y188" t="s">
        <v>85</v>
      </c>
      <c r="Z188" t="s">
        <v>85</v>
      </c>
      <c r="AA188" t="s">
        <v>85</v>
      </c>
      <c r="AB188" t="s">
        <v>4169</v>
      </c>
      <c r="AC188" t="s">
        <v>85</v>
      </c>
      <c r="AD188" t="s">
        <v>85</v>
      </c>
      <c r="AE188" t="s">
        <v>85</v>
      </c>
      <c r="AF188" t="s">
        <v>85</v>
      </c>
      <c r="AG188" t="s">
        <v>85</v>
      </c>
      <c r="AH188" t="s">
        <v>85</v>
      </c>
      <c r="AI188" t="s">
        <v>85</v>
      </c>
      <c r="AJ188" t="s">
        <v>85</v>
      </c>
      <c r="AK188" t="s">
        <v>85</v>
      </c>
      <c r="AL188" t="s">
        <v>85</v>
      </c>
      <c r="AM188" t="s">
        <v>85</v>
      </c>
      <c r="AN188" t="s">
        <v>85</v>
      </c>
      <c r="AO188" t="s">
        <v>85</v>
      </c>
      <c r="AP188" t="s">
        <v>4170</v>
      </c>
      <c r="AQ188" t="s">
        <v>85</v>
      </c>
      <c r="AR188" t="s">
        <v>85</v>
      </c>
      <c r="AS188" t="s">
        <v>85</v>
      </c>
      <c r="AT188" t="s">
        <v>887</v>
      </c>
      <c r="AU188">
        <v>2023</v>
      </c>
      <c r="AV188">
        <v>15</v>
      </c>
      <c r="AW188">
        <v>21</v>
      </c>
      <c r="AX188" t="s">
        <v>85</v>
      </c>
      <c r="AY188" t="s">
        <v>85</v>
      </c>
      <c r="AZ188" t="s">
        <v>85</v>
      </c>
      <c r="BA188" t="s">
        <v>85</v>
      </c>
      <c r="BB188" t="s">
        <v>85</v>
      </c>
      <c r="BC188" t="s">
        <v>85</v>
      </c>
      <c r="BD188">
        <v>5182</v>
      </c>
      <c r="BE188" t="s">
        <v>4171</v>
      </c>
      <c r="BF188" t="str">
        <f>HYPERLINK("http://dx.doi.org/10.3390/rs15215182","http://dx.doi.org/10.3390/rs15215182")</f>
        <v>http://dx.doi.org/10.3390/rs15215182</v>
      </c>
      <c r="BG188" t="s">
        <v>85</v>
      </c>
      <c r="BH188" t="s">
        <v>85</v>
      </c>
      <c r="BI188" t="s">
        <v>85</v>
      </c>
      <c r="BJ188" t="s">
        <v>85</v>
      </c>
      <c r="BK188" t="s">
        <v>85</v>
      </c>
      <c r="BL188" t="s">
        <v>85</v>
      </c>
      <c r="BM188" t="s">
        <v>85</v>
      </c>
      <c r="BN188" t="s">
        <v>85</v>
      </c>
      <c r="BO188" t="s">
        <v>85</v>
      </c>
      <c r="BP188" t="s">
        <v>85</v>
      </c>
      <c r="BQ188" t="s">
        <v>85</v>
      </c>
      <c r="BR188" t="s">
        <v>85</v>
      </c>
      <c r="BS188" t="s">
        <v>4172</v>
      </c>
      <c r="BT188" t="str">
        <f>HYPERLINK("https%3A%2F%2Fwww.webofscience.com%2Fwos%2Fwoscc%2Ffull-record%2FWOS:001121074000001","View Full Record in Web of Science")</f>
        <v>View Full Record in Web of Science</v>
      </c>
      <c r="BW188"/>
      <c r="BX188"/>
      <c r="BY188"/>
      <c r="CA188"/>
      <c r="CB188"/>
    </row>
    <row r="189" spans="1:84">
      <c r="A189" t="s">
        <v>83</v>
      </c>
      <c r="B189" t="s">
        <v>434</v>
      </c>
      <c r="C189" t="s">
        <v>85</v>
      </c>
      <c r="D189" t="s">
        <v>85</v>
      </c>
      <c r="E189" t="s">
        <v>85</v>
      </c>
      <c r="F189" t="s">
        <v>435</v>
      </c>
      <c r="G189" t="s">
        <v>85</v>
      </c>
      <c r="H189" t="s">
        <v>85</v>
      </c>
      <c r="I189" t="s">
        <v>436</v>
      </c>
      <c r="J189" t="s">
        <v>437</v>
      </c>
      <c r="K189" t="s">
        <v>85</v>
      </c>
      <c r="L189" t="s">
        <v>85</v>
      </c>
      <c r="M189" t="s">
        <v>85</v>
      </c>
      <c r="N189" t="s">
        <v>85</v>
      </c>
      <c r="O189" t="s">
        <v>85</v>
      </c>
      <c r="P189" t="s">
        <v>85</v>
      </c>
      <c r="Q189" t="s">
        <v>85</v>
      </c>
      <c r="R189" t="s">
        <v>85</v>
      </c>
      <c r="S189" t="s">
        <v>85</v>
      </c>
      <c r="T189" t="s">
        <v>85</v>
      </c>
      <c r="U189" t="s">
        <v>85</v>
      </c>
      <c r="V189" t="s">
        <v>85</v>
      </c>
      <c r="W189" t="s">
        <v>85</v>
      </c>
      <c r="X189" t="s">
        <v>85</v>
      </c>
      <c r="Y189" t="s">
        <v>85</v>
      </c>
      <c r="Z189" t="s">
        <v>85</v>
      </c>
      <c r="AA189" t="s">
        <v>4173</v>
      </c>
      <c r="AB189" t="s">
        <v>4174</v>
      </c>
      <c r="AC189" t="s">
        <v>85</v>
      </c>
      <c r="AD189" t="s">
        <v>85</v>
      </c>
      <c r="AE189" t="s">
        <v>85</v>
      </c>
      <c r="AF189" t="s">
        <v>85</v>
      </c>
      <c r="AG189" t="s">
        <v>85</v>
      </c>
      <c r="AH189" t="s">
        <v>85</v>
      </c>
      <c r="AI189" t="s">
        <v>85</v>
      </c>
      <c r="AJ189" t="s">
        <v>85</v>
      </c>
      <c r="AK189" t="s">
        <v>85</v>
      </c>
      <c r="AL189" t="s">
        <v>85</v>
      </c>
      <c r="AM189" t="s">
        <v>85</v>
      </c>
      <c r="AN189" t="s">
        <v>85</v>
      </c>
      <c r="AO189" t="s">
        <v>451</v>
      </c>
      <c r="AP189" t="s">
        <v>85</v>
      </c>
      <c r="AQ189" t="s">
        <v>85</v>
      </c>
      <c r="AR189" t="s">
        <v>85</v>
      </c>
      <c r="AS189" t="s">
        <v>85</v>
      </c>
      <c r="AT189" t="s">
        <v>454</v>
      </c>
      <c r="AU189">
        <v>2023</v>
      </c>
      <c r="AV189">
        <v>13</v>
      </c>
      <c r="AW189">
        <v>1</v>
      </c>
      <c r="AX189" t="s">
        <v>85</v>
      </c>
      <c r="AY189" t="s">
        <v>85</v>
      </c>
      <c r="AZ189" t="s">
        <v>85</v>
      </c>
      <c r="BA189" t="s">
        <v>85</v>
      </c>
      <c r="BB189" t="s">
        <v>85</v>
      </c>
      <c r="BC189" t="s">
        <v>85</v>
      </c>
      <c r="BD189">
        <v>2209</v>
      </c>
      <c r="BE189" t="s">
        <v>455</v>
      </c>
      <c r="BF189" t="str">
        <f>HYPERLINK("http://dx.doi.org/10.1038/s41598-023-28544-w","http://dx.doi.org/10.1038/s41598-023-28544-w")</f>
        <v>http://dx.doi.org/10.1038/s41598-023-28544-w</v>
      </c>
      <c r="BG189" t="s">
        <v>85</v>
      </c>
      <c r="BH189" t="s">
        <v>85</v>
      </c>
      <c r="BI189" t="s">
        <v>85</v>
      </c>
      <c r="BJ189" t="s">
        <v>85</v>
      </c>
      <c r="BK189" t="s">
        <v>85</v>
      </c>
      <c r="BL189" t="s">
        <v>85</v>
      </c>
      <c r="BM189" t="s">
        <v>85</v>
      </c>
      <c r="BN189">
        <v>36878999</v>
      </c>
      <c r="BO189" t="s">
        <v>85</v>
      </c>
      <c r="BP189" t="s">
        <v>85</v>
      </c>
      <c r="BQ189" t="s">
        <v>85</v>
      </c>
      <c r="BR189" t="s">
        <v>85</v>
      </c>
      <c r="BS189" t="s">
        <v>459</v>
      </c>
      <c r="BT189" t="str">
        <f>HYPERLINK("https%3A%2F%2Fwww.webofscience.com%2Fwos%2Fwoscc%2Ffull-record%2FWOS:000989365600009","View Full Record in Web of Science")</f>
        <v>View Full Record in Web of Science</v>
      </c>
      <c r="BW189"/>
      <c r="BX189"/>
      <c r="BY189"/>
      <c r="CA189"/>
      <c r="CB189"/>
    </row>
    <row r="190" spans="1:84">
      <c r="A190" t="s">
        <v>83</v>
      </c>
      <c r="B190" t="s">
        <v>4175</v>
      </c>
      <c r="C190" t="s">
        <v>85</v>
      </c>
      <c r="D190" t="s">
        <v>85</v>
      </c>
      <c r="E190" t="s">
        <v>85</v>
      </c>
      <c r="F190" t="s">
        <v>4176</v>
      </c>
      <c r="G190" t="s">
        <v>85</v>
      </c>
      <c r="H190" t="s">
        <v>85</v>
      </c>
      <c r="I190" t="s">
        <v>4177</v>
      </c>
      <c r="J190" t="s">
        <v>4178</v>
      </c>
      <c r="K190" t="s">
        <v>85</v>
      </c>
      <c r="L190" t="s">
        <v>85</v>
      </c>
      <c r="M190" t="s">
        <v>85</v>
      </c>
      <c r="N190" t="s">
        <v>85</v>
      </c>
      <c r="O190" t="s">
        <v>85</v>
      </c>
      <c r="P190" t="s">
        <v>85</v>
      </c>
      <c r="Q190" t="s">
        <v>85</v>
      </c>
      <c r="R190" t="s">
        <v>85</v>
      </c>
      <c r="S190" t="s">
        <v>85</v>
      </c>
      <c r="T190" t="s">
        <v>85</v>
      </c>
      <c r="U190" t="s">
        <v>85</v>
      </c>
      <c r="V190" t="s">
        <v>85</v>
      </c>
      <c r="W190" t="s">
        <v>85</v>
      </c>
      <c r="X190" t="s">
        <v>85</v>
      </c>
      <c r="Y190" t="s">
        <v>85</v>
      </c>
      <c r="Z190" t="s">
        <v>85</v>
      </c>
      <c r="AA190" t="s">
        <v>85</v>
      </c>
      <c r="AB190" t="s">
        <v>85</v>
      </c>
      <c r="AC190" t="s">
        <v>85</v>
      </c>
      <c r="AD190" t="s">
        <v>85</v>
      </c>
      <c r="AE190" t="s">
        <v>85</v>
      </c>
      <c r="AF190" t="s">
        <v>85</v>
      </c>
      <c r="AG190" t="s">
        <v>85</v>
      </c>
      <c r="AH190" t="s">
        <v>85</v>
      </c>
      <c r="AI190" t="s">
        <v>85</v>
      </c>
      <c r="AJ190" t="s">
        <v>85</v>
      </c>
      <c r="AK190" t="s">
        <v>85</v>
      </c>
      <c r="AL190" t="s">
        <v>85</v>
      </c>
      <c r="AM190" t="s">
        <v>85</v>
      </c>
      <c r="AN190" t="s">
        <v>85</v>
      </c>
      <c r="AO190" t="s">
        <v>85</v>
      </c>
      <c r="AP190" t="s">
        <v>4179</v>
      </c>
      <c r="AQ190" t="s">
        <v>85</v>
      </c>
      <c r="AR190" t="s">
        <v>85</v>
      </c>
      <c r="AS190" t="s">
        <v>85</v>
      </c>
      <c r="AT190" t="s">
        <v>4180</v>
      </c>
      <c r="AU190">
        <v>2023</v>
      </c>
      <c r="AV190">
        <v>5</v>
      </c>
      <c r="AW190" t="s">
        <v>85</v>
      </c>
      <c r="AX190" t="s">
        <v>85</v>
      </c>
      <c r="AY190" t="s">
        <v>85</v>
      </c>
      <c r="AZ190" t="s">
        <v>85</v>
      </c>
      <c r="BA190" t="s">
        <v>85</v>
      </c>
      <c r="BB190" t="s">
        <v>85</v>
      </c>
      <c r="BC190" t="s">
        <v>85</v>
      </c>
      <c r="BD190">
        <v>1235886</v>
      </c>
      <c r="BE190" t="s">
        <v>4181</v>
      </c>
      <c r="BF190" t="str">
        <f>HYPERLINK("http://dx.doi.org/10.3389/fclim.2023.1235886","http://dx.doi.org/10.3389/fclim.2023.1235886")</f>
        <v>http://dx.doi.org/10.3389/fclim.2023.1235886</v>
      </c>
      <c r="BG190" t="s">
        <v>85</v>
      </c>
      <c r="BH190" t="s">
        <v>85</v>
      </c>
      <c r="BI190" t="s">
        <v>85</v>
      </c>
      <c r="BJ190" t="s">
        <v>85</v>
      </c>
      <c r="BK190" t="s">
        <v>85</v>
      </c>
      <c r="BL190" t="s">
        <v>85</v>
      </c>
      <c r="BM190" t="s">
        <v>85</v>
      </c>
      <c r="BN190" t="s">
        <v>85</v>
      </c>
      <c r="BO190" t="s">
        <v>85</v>
      </c>
      <c r="BP190" t="s">
        <v>85</v>
      </c>
      <c r="BQ190" t="s">
        <v>85</v>
      </c>
      <c r="BR190" t="s">
        <v>85</v>
      </c>
      <c r="BS190" t="s">
        <v>4182</v>
      </c>
      <c r="BT190" t="str">
        <f>HYPERLINK("https%3A%2F%2Fwww.webofscience.com%2Fwos%2Fwoscc%2Ffull-record%2FWOS:001083296500001","View Full Record in Web of Science")</f>
        <v>View Full Record in Web of Science</v>
      </c>
      <c r="BW190"/>
      <c r="BX190"/>
      <c r="BY190"/>
      <c r="CA190"/>
      <c r="CB190"/>
    </row>
    <row r="191" spans="1:84">
      <c r="A191" t="s">
        <v>83</v>
      </c>
      <c r="B191" t="s">
        <v>624</v>
      </c>
      <c r="C191" t="s">
        <v>85</v>
      </c>
      <c r="D191" t="s">
        <v>85</v>
      </c>
      <c r="E191" t="s">
        <v>85</v>
      </c>
      <c r="F191" t="s">
        <v>625</v>
      </c>
      <c r="G191" t="s">
        <v>85</v>
      </c>
      <c r="H191" t="s">
        <v>85</v>
      </c>
      <c r="I191" t="s">
        <v>626</v>
      </c>
      <c r="J191" t="s">
        <v>627</v>
      </c>
      <c r="K191" t="s">
        <v>85</v>
      </c>
      <c r="L191" t="s">
        <v>85</v>
      </c>
      <c r="M191" t="s">
        <v>85</v>
      </c>
      <c r="N191" t="s">
        <v>85</v>
      </c>
      <c r="O191" t="s">
        <v>85</v>
      </c>
      <c r="P191" t="s">
        <v>85</v>
      </c>
      <c r="Q191" t="s">
        <v>85</v>
      </c>
      <c r="R191" t="s">
        <v>85</v>
      </c>
      <c r="S191" t="s">
        <v>85</v>
      </c>
      <c r="T191" t="s">
        <v>85</v>
      </c>
      <c r="U191" t="s">
        <v>85</v>
      </c>
      <c r="V191" t="s">
        <v>85</v>
      </c>
      <c r="W191" t="s">
        <v>85</v>
      </c>
      <c r="X191" t="s">
        <v>85</v>
      </c>
      <c r="Y191" t="s">
        <v>85</v>
      </c>
      <c r="Z191" t="s">
        <v>85</v>
      </c>
      <c r="AA191" t="s">
        <v>85</v>
      </c>
      <c r="AB191" t="s">
        <v>85</v>
      </c>
      <c r="AC191" t="s">
        <v>85</v>
      </c>
      <c r="AD191" t="s">
        <v>85</v>
      </c>
      <c r="AE191" t="s">
        <v>85</v>
      </c>
      <c r="AF191" t="s">
        <v>85</v>
      </c>
      <c r="AG191" t="s">
        <v>85</v>
      </c>
      <c r="AH191" t="s">
        <v>85</v>
      </c>
      <c r="AI191" t="s">
        <v>85</v>
      </c>
      <c r="AJ191" t="s">
        <v>85</v>
      </c>
      <c r="AK191" t="s">
        <v>85</v>
      </c>
      <c r="AL191" t="s">
        <v>85</v>
      </c>
      <c r="AM191" t="s">
        <v>85</v>
      </c>
      <c r="AN191" t="s">
        <v>85</v>
      </c>
      <c r="AO191" t="s">
        <v>638</v>
      </c>
      <c r="AP191" t="s">
        <v>639</v>
      </c>
      <c r="AQ191" t="s">
        <v>85</v>
      </c>
      <c r="AR191" t="s">
        <v>85</v>
      </c>
      <c r="AS191" t="s">
        <v>85</v>
      </c>
      <c r="AT191" t="s">
        <v>200</v>
      </c>
      <c r="AU191">
        <v>2023</v>
      </c>
      <c r="AV191">
        <v>34</v>
      </c>
      <c r="AW191">
        <v>5</v>
      </c>
      <c r="AX191" t="s">
        <v>85</v>
      </c>
      <c r="AY191" t="s">
        <v>85</v>
      </c>
      <c r="AZ191" t="s">
        <v>85</v>
      </c>
      <c r="BA191" t="s">
        <v>85</v>
      </c>
      <c r="BB191">
        <v>1245</v>
      </c>
      <c r="BC191">
        <v>1261</v>
      </c>
      <c r="BD191" t="s">
        <v>85</v>
      </c>
      <c r="BE191" t="s">
        <v>643</v>
      </c>
      <c r="BF191" t="str">
        <f>HYPERLINK("http://dx.doi.org/10.1007/s11676-022-01595-x","http://dx.doi.org/10.1007/s11676-022-01595-x")</f>
        <v>http://dx.doi.org/10.1007/s11676-022-01595-x</v>
      </c>
      <c r="BG191" t="s">
        <v>85</v>
      </c>
      <c r="BH191" t="s">
        <v>644</v>
      </c>
      <c r="BI191" t="s">
        <v>85</v>
      </c>
      <c r="BJ191" t="s">
        <v>85</v>
      </c>
      <c r="BK191" t="s">
        <v>85</v>
      </c>
      <c r="BL191" t="s">
        <v>85</v>
      </c>
      <c r="BM191" t="s">
        <v>85</v>
      </c>
      <c r="BN191" t="s">
        <v>85</v>
      </c>
      <c r="BO191" t="s">
        <v>85</v>
      </c>
      <c r="BP191" t="s">
        <v>85</v>
      </c>
      <c r="BQ191" t="s">
        <v>85</v>
      </c>
      <c r="BR191" t="s">
        <v>85</v>
      </c>
      <c r="BS191" t="s">
        <v>646</v>
      </c>
      <c r="BT191" t="str">
        <f>HYPERLINK("https%3A%2F%2Fwww.webofscience.com%2Fwos%2Fwoscc%2Ffull-record%2FWOS:000916889400001","View Full Record in Web of Science")</f>
        <v>View Full Record in Web of Science</v>
      </c>
      <c r="BW191"/>
      <c r="BX191"/>
      <c r="BY191"/>
      <c r="CA191"/>
      <c r="CB191"/>
    </row>
    <row r="192" spans="1:84">
      <c r="A192" t="s">
        <v>83</v>
      </c>
      <c r="B192" t="s">
        <v>4183</v>
      </c>
      <c r="C192" t="s">
        <v>85</v>
      </c>
      <c r="D192" t="s">
        <v>85</v>
      </c>
      <c r="E192" t="s">
        <v>85</v>
      </c>
      <c r="F192" t="s">
        <v>4184</v>
      </c>
      <c r="G192" t="s">
        <v>85</v>
      </c>
      <c r="H192" t="s">
        <v>85</v>
      </c>
      <c r="I192" t="s">
        <v>4185</v>
      </c>
      <c r="J192" t="s">
        <v>4186</v>
      </c>
      <c r="K192" t="s">
        <v>85</v>
      </c>
      <c r="L192" t="s">
        <v>85</v>
      </c>
      <c r="M192" t="s">
        <v>85</v>
      </c>
      <c r="N192" t="s">
        <v>85</v>
      </c>
      <c r="O192" t="s">
        <v>85</v>
      </c>
      <c r="P192" t="s">
        <v>85</v>
      </c>
      <c r="Q192" t="s">
        <v>85</v>
      </c>
      <c r="R192" t="s">
        <v>85</v>
      </c>
      <c r="S192" t="s">
        <v>85</v>
      </c>
      <c r="T192" t="s">
        <v>85</v>
      </c>
      <c r="U192" t="s">
        <v>85</v>
      </c>
      <c r="V192" t="s">
        <v>85</v>
      </c>
      <c r="W192" t="s">
        <v>85</v>
      </c>
      <c r="X192" t="s">
        <v>85</v>
      </c>
      <c r="Y192" t="s">
        <v>85</v>
      </c>
      <c r="Z192" t="s">
        <v>85</v>
      </c>
      <c r="AA192" t="s">
        <v>85</v>
      </c>
      <c r="AB192" t="s">
        <v>85</v>
      </c>
      <c r="AC192" t="s">
        <v>85</v>
      </c>
      <c r="AD192" t="s">
        <v>85</v>
      </c>
      <c r="AE192" t="s">
        <v>85</v>
      </c>
      <c r="AF192" t="s">
        <v>85</v>
      </c>
      <c r="AG192" t="s">
        <v>85</v>
      </c>
      <c r="AH192" t="s">
        <v>85</v>
      </c>
      <c r="AI192" t="s">
        <v>85</v>
      </c>
      <c r="AJ192" t="s">
        <v>85</v>
      </c>
      <c r="AK192" t="s">
        <v>85</v>
      </c>
      <c r="AL192" t="s">
        <v>85</v>
      </c>
      <c r="AM192" t="s">
        <v>85</v>
      </c>
      <c r="AN192" t="s">
        <v>85</v>
      </c>
      <c r="AO192" t="s">
        <v>4187</v>
      </c>
      <c r="AP192" t="s">
        <v>4188</v>
      </c>
      <c r="AQ192" t="s">
        <v>85</v>
      </c>
      <c r="AR192" t="s">
        <v>85</v>
      </c>
      <c r="AS192" t="s">
        <v>85</v>
      </c>
      <c r="AT192" t="s">
        <v>85</v>
      </c>
      <c r="AU192">
        <v>2023</v>
      </c>
      <c r="AV192">
        <v>22</v>
      </c>
      <c r="AW192">
        <v>22</v>
      </c>
      <c r="AX192" t="s">
        <v>85</v>
      </c>
      <c r="AY192" t="s">
        <v>85</v>
      </c>
      <c r="AZ192" t="s">
        <v>85</v>
      </c>
      <c r="BA192" t="s">
        <v>85</v>
      </c>
      <c r="BB192">
        <v>120</v>
      </c>
      <c r="BC192">
        <v>128</v>
      </c>
      <c r="BD192" t="s">
        <v>85</v>
      </c>
      <c r="BE192" t="s">
        <v>4189</v>
      </c>
      <c r="BF192" t="str">
        <f>HYPERLINK("http://dx.doi.org/10.22616/j.landarchart.2023.22.12","http://dx.doi.org/10.22616/j.landarchart.2023.22.12")</f>
        <v>http://dx.doi.org/10.22616/j.landarchart.2023.22.12</v>
      </c>
      <c r="BG192" t="s">
        <v>85</v>
      </c>
      <c r="BH192" t="s">
        <v>85</v>
      </c>
      <c r="BI192" t="s">
        <v>85</v>
      </c>
      <c r="BJ192" t="s">
        <v>85</v>
      </c>
      <c r="BK192" t="s">
        <v>85</v>
      </c>
      <c r="BL192" t="s">
        <v>85</v>
      </c>
      <c r="BM192" t="s">
        <v>85</v>
      </c>
      <c r="BN192" t="s">
        <v>85</v>
      </c>
      <c r="BO192" t="s">
        <v>85</v>
      </c>
      <c r="BP192" t="s">
        <v>85</v>
      </c>
      <c r="BQ192" t="s">
        <v>85</v>
      </c>
      <c r="BR192" t="s">
        <v>85</v>
      </c>
      <c r="BS192" t="s">
        <v>4190</v>
      </c>
      <c r="BT192" t="str">
        <f>HYPERLINK("https%3A%2F%2Fwww.webofscience.com%2Fwos%2Fwoscc%2Ffull-record%2FWOS:001157163900006","View Full Record in Web of Science")</f>
        <v>View Full Record in Web of Science</v>
      </c>
      <c r="BW192"/>
      <c r="BX192"/>
      <c r="BY192"/>
      <c r="CA192"/>
      <c r="CB192"/>
    </row>
    <row r="193" spans="1:80">
      <c r="A193" t="s">
        <v>83</v>
      </c>
      <c r="B193" t="s">
        <v>4191</v>
      </c>
      <c r="C193" t="s">
        <v>85</v>
      </c>
      <c r="D193" t="s">
        <v>85</v>
      </c>
      <c r="E193" t="s">
        <v>85</v>
      </c>
      <c r="F193" t="s">
        <v>4192</v>
      </c>
      <c r="G193" t="s">
        <v>85</v>
      </c>
      <c r="H193" t="s">
        <v>85</v>
      </c>
      <c r="I193" t="s">
        <v>4193</v>
      </c>
      <c r="J193" t="s">
        <v>2616</v>
      </c>
      <c r="K193" t="s">
        <v>85</v>
      </c>
      <c r="L193" t="s">
        <v>85</v>
      </c>
      <c r="M193" t="s">
        <v>85</v>
      </c>
      <c r="N193" t="s">
        <v>85</v>
      </c>
      <c r="O193" t="s">
        <v>85</v>
      </c>
      <c r="P193" t="s">
        <v>85</v>
      </c>
      <c r="Q193" t="s">
        <v>85</v>
      </c>
      <c r="R193" t="s">
        <v>85</v>
      </c>
      <c r="S193" t="s">
        <v>85</v>
      </c>
      <c r="T193" t="s">
        <v>85</v>
      </c>
      <c r="U193" t="s">
        <v>85</v>
      </c>
      <c r="V193" t="s">
        <v>85</v>
      </c>
      <c r="W193" t="s">
        <v>85</v>
      </c>
      <c r="X193" t="s">
        <v>85</v>
      </c>
      <c r="Y193" t="s">
        <v>85</v>
      </c>
      <c r="Z193" t="s">
        <v>85</v>
      </c>
      <c r="AA193" t="s">
        <v>85</v>
      </c>
      <c r="AB193" t="s">
        <v>4194</v>
      </c>
      <c r="AC193" t="s">
        <v>85</v>
      </c>
      <c r="AD193" t="s">
        <v>85</v>
      </c>
      <c r="AE193" t="s">
        <v>85</v>
      </c>
      <c r="AF193" t="s">
        <v>85</v>
      </c>
      <c r="AG193" t="s">
        <v>85</v>
      </c>
      <c r="AH193" t="s">
        <v>85</v>
      </c>
      <c r="AI193" t="s">
        <v>85</v>
      </c>
      <c r="AJ193" t="s">
        <v>85</v>
      </c>
      <c r="AK193" t="s">
        <v>85</v>
      </c>
      <c r="AL193" t="s">
        <v>85</v>
      </c>
      <c r="AM193" t="s">
        <v>85</v>
      </c>
      <c r="AN193" t="s">
        <v>85</v>
      </c>
      <c r="AO193" t="s">
        <v>2631</v>
      </c>
      <c r="AP193" t="s">
        <v>2632</v>
      </c>
      <c r="AQ193" t="s">
        <v>85</v>
      </c>
      <c r="AR193" t="s">
        <v>85</v>
      </c>
      <c r="AS193" t="s">
        <v>85</v>
      </c>
      <c r="AT193" t="s">
        <v>544</v>
      </c>
      <c r="AU193">
        <v>2023</v>
      </c>
      <c r="AV193">
        <v>131</v>
      </c>
      <c r="AW193">
        <v>1</v>
      </c>
      <c r="AX193" t="s">
        <v>85</v>
      </c>
      <c r="AY193" t="s">
        <v>85</v>
      </c>
      <c r="AZ193" t="s">
        <v>85</v>
      </c>
      <c r="BA193" t="s">
        <v>85</v>
      </c>
      <c r="BB193" t="s">
        <v>85</v>
      </c>
      <c r="BC193" t="s">
        <v>85</v>
      </c>
      <c r="BD193">
        <v>17007</v>
      </c>
      <c r="BE193" t="s">
        <v>4195</v>
      </c>
      <c r="BF193" t="str">
        <f>HYPERLINK("http://dx.doi.org/10.1289/EHP11164","http://dx.doi.org/10.1289/EHP11164")</f>
        <v>http://dx.doi.org/10.1289/EHP11164</v>
      </c>
      <c r="BG193" t="s">
        <v>85</v>
      </c>
      <c r="BH193" t="s">
        <v>85</v>
      </c>
      <c r="BI193" t="s">
        <v>85</v>
      </c>
      <c r="BJ193" t="s">
        <v>85</v>
      </c>
      <c r="BK193" t="s">
        <v>85</v>
      </c>
      <c r="BL193" t="s">
        <v>85</v>
      </c>
      <c r="BM193" t="s">
        <v>85</v>
      </c>
      <c r="BN193">
        <v>36696102</v>
      </c>
      <c r="BO193" t="s">
        <v>85</v>
      </c>
      <c r="BP193" t="s">
        <v>85</v>
      </c>
      <c r="BQ193" t="s">
        <v>85</v>
      </c>
      <c r="BR193" t="s">
        <v>85</v>
      </c>
      <c r="BS193" t="s">
        <v>4196</v>
      </c>
      <c r="BT193" t="str">
        <f>HYPERLINK("https%3A%2F%2Fwww.webofscience.com%2Fwos%2Fwoscc%2Ffull-record%2FWOS:001124408100001","View Full Record in Web of Science")</f>
        <v>View Full Record in Web of Science</v>
      </c>
      <c r="BW193"/>
      <c r="BX193"/>
      <c r="BY193"/>
      <c r="CA193"/>
      <c r="CB193"/>
    </row>
    <row r="194" spans="1:80">
      <c r="A194" t="s">
        <v>83</v>
      </c>
      <c r="B194" t="s">
        <v>4197</v>
      </c>
      <c r="C194" t="s">
        <v>85</v>
      </c>
      <c r="D194" t="s">
        <v>85</v>
      </c>
      <c r="E194" t="s">
        <v>85</v>
      </c>
      <c r="F194" t="s">
        <v>4198</v>
      </c>
      <c r="G194" t="s">
        <v>85</v>
      </c>
      <c r="H194" t="s">
        <v>85</v>
      </c>
      <c r="I194" t="s">
        <v>4199</v>
      </c>
      <c r="J194" t="s">
        <v>499</v>
      </c>
      <c r="K194" t="s">
        <v>85</v>
      </c>
      <c r="L194" t="s">
        <v>85</v>
      </c>
      <c r="M194" t="s">
        <v>85</v>
      </c>
      <c r="N194" t="s">
        <v>85</v>
      </c>
      <c r="O194" t="s">
        <v>85</v>
      </c>
      <c r="P194" t="s">
        <v>85</v>
      </c>
      <c r="Q194" t="s">
        <v>85</v>
      </c>
      <c r="R194" t="s">
        <v>85</v>
      </c>
      <c r="S194" t="s">
        <v>85</v>
      </c>
      <c r="T194" t="s">
        <v>85</v>
      </c>
      <c r="U194" t="s">
        <v>85</v>
      </c>
      <c r="V194" t="s">
        <v>85</v>
      </c>
      <c r="W194" t="s">
        <v>85</v>
      </c>
      <c r="X194" t="s">
        <v>85</v>
      </c>
      <c r="Y194" t="s">
        <v>85</v>
      </c>
      <c r="Z194" t="s">
        <v>85</v>
      </c>
      <c r="AA194" t="s">
        <v>4200</v>
      </c>
      <c r="AB194" t="s">
        <v>4201</v>
      </c>
      <c r="AC194" t="s">
        <v>85</v>
      </c>
      <c r="AD194" t="s">
        <v>85</v>
      </c>
      <c r="AE194" t="s">
        <v>85</v>
      </c>
      <c r="AF194" t="s">
        <v>85</v>
      </c>
      <c r="AG194" t="s">
        <v>85</v>
      </c>
      <c r="AH194" t="s">
        <v>85</v>
      </c>
      <c r="AI194" t="s">
        <v>85</v>
      </c>
      <c r="AJ194" t="s">
        <v>85</v>
      </c>
      <c r="AK194" t="s">
        <v>85</v>
      </c>
      <c r="AL194" t="s">
        <v>85</v>
      </c>
      <c r="AM194" t="s">
        <v>85</v>
      </c>
      <c r="AN194" t="s">
        <v>85</v>
      </c>
      <c r="AO194" t="s">
        <v>509</v>
      </c>
      <c r="AP194" t="s">
        <v>510</v>
      </c>
      <c r="AQ194" t="s">
        <v>85</v>
      </c>
      <c r="AR194" t="s">
        <v>85</v>
      </c>
      <c r="AS194" t="s">
        <v>85</v>
      </c>
      <c r="AT194" t="s">
        <v>108</v>
      </c>
      <c r="AU194">
        <v>2023</v>
      </c>
      <c r="AV194">
        <v>253</v>
      </c>
      <c r="AW194" t="s">
        <v>85</v>
      </c>
      <c r="AX194" t="s">
        <v>85</v>
      </c>
      <c r="AY194" t="s">
        <v>85</v>
      </c>
      <c r="AZ194" t="s">
        <v>85</v>
      </c>
      <c r="BA194" t="s">
        <v>85</v>
      </c>
      <c r="BB194" t="s">
        <v>85</v>
      </c>
      <c r="BC194" t="s">
        <v>85</v>
      </c>
      <c r="BD194">
        <v>114239</v>
      </c>
      <c r="BE194" t="s">
        <v>4202</v>
      </c>
      <c r="BF194" t="str">
        <f>HYPERLINK("http://dx.doi.org/10.1016/j.ijheh.2023.114239","http://dx.doi.org/10.1016/j.ijheh.2023.114239")</f>
        <v>http://dx.doi.org/10.1016/j.ijheh.2023.114239</v>
      </c>
      <c r="BG194" t="s">
        <v>85</v>
      </c>
      <c r="BH194" t="s">
        <v>4157</v>
      </c>
      <c r="BI194" t="s">
        <v>85</v>
      </c>
      <c r="BJ194" t="s">
        <v>85</v>
      </c>
      <c r="BK194" t="s">
        <v>85</v>
      </c>
      <c r="BL194" t="s">
        <v>85</v>
      </c>
      <c r="BM194" t="s">
        <v>85</v>
      </c>
      <c r="BN194">
        <v>37562123</v>
      </c>
      <c r="BO194" t="s">
        <v>85</v>
      </c>
      <c r="BP194" t="s">
        <v>85</v>
      </c>
      <c r="BQ194" t="s">
        <v>85</v>
      </c>
      <c r="BR194" t="s">
        <v>85</v>
      </c>
      <c r="BS194" t="s">
        <v>4203</v>
      </c>
      <c r="BT194" t="str">
        <f>HYPERLINK("https%3A%2F%2Fwww.webofscience.com%2Fwos%2Fwoscc%2Ffull-record%2FWOS:001064678400001","View Full Record in Web of Science")</f>
        <v>View Full Record in Web of Science</v>
      </c>
      <c r="BW194"/>
      <c r="BX194"/>
      <c r="BY194"/>
      <c r="CA194"/>
      <c r="CB194"/>
    </row>
    <row r="195" spans="1:80">
      <c r="A195" t="s">
        <v>83</v>
      </c>
      <c r="B195" t="s">
        <v>4204</v>
      </c>
      <c r="C195" t="s">
        <v>85</v>
      </c>
      <c r="D195" t="s">
        <v>85</v>
      </c>
      <c r="E195" t="s">
        <v>85</v>
      </c>
      <c r="F195" t="s">
        <v>4205</v>
      </c>
      <c r="G195" t="s">
        <v>85</v>
      </c>
      <c r="H195" t="s">
        <v>85</v>
      </c>
      <c r="I195" t="s">
        <v>4206</v>
      </c>
      <c r="J195" t="s">
        <v>158</v>
      </c>
      <c r="K195" t="s">
        <v>85</v>
      </c>
      <c r="L195" t="s">
        <v>85</v>
      </c>
      <c r="M195" t="s">
        <v>85</v>
      </c>
      <c r="N195" t="s">
        <v>85</v>
      </c>
      <c r="O195" t="s">
        <v>85</v>
      </c>
      <c r="P195" t="s">
        <v>85</v>
      </c>
      <c r="Q195" t="s">
        <v>85</v>
      </c>
      <c r="R195" t="s">
        <v>85</v>
      </c>
      <c r="S195" t="s">
        <v>85</v>
      </c>
      <c r="T195" t="s">
        <v>85</v>
      </c>
      <c r="U195" t="s">
        <v>85</v>
      </c>
      <c r="V195" t="s">
        <v>85</v>
      </c>
      <c r="W195" t="s">
        <v>85</v>
      </c>
      <c r="X195" t="s">
        <v>85</v>
      </c>
      <c r="Y195" t="s">
        <v>85</v>
      </c>
      <c r="Z195" t="s">
        <v>85</v>
      </c>
      <c r="AA195" t="s">
        <v>85</v>
      </c>
      <c r="AB195" t="s">
        <v>4207</v>
      </c>
      <c r="AC195" t="s">
        <v>85</v>
      </c>
      <c r="AD195" t="s">
        <v>85</v>
      </c>
      <c r="AE195" t="s">
        <v>85</v>
      </c>
      <c r="AF195" t="s">
        <v>85</v>
      </c>
      <c r="AG195" t="s">
        <v>85</v>
      </c>
      <c r="AH195" t="s">
        <v>85</v>
      </c>
      <c r="AI195" t="s">
        <v>85</v>
      </c>
      <c r="AJ195" t="s">
        <v>85</v>
      </c>
      <c r="AK195" t="s">
        <v>85</v>
      </c>
      <c r="AL195" t="s">
        <v>85</v>
      </c>
      <c r="AM195" t="s">
        <v>85</v>
      </c>
      <c r="AN195" t="s">
        <v>85</v>
      </c>
      <c r="AO195" t="s">
        <v>85</v>
      </c>
      <c r="AP195" t="s">
        <v>166</v>
      </c>
      <c r="AQ195" t="s">
        <v>85</v>
      </c>
      <c r="AR195" t="s">
        <v>85</v>
      </c>
      <c r="AS195" t="s">
        <v>85</v>
      </c>
      <c r="AT195" t="s">
        <v>761</v>
      </c>
      <c r="AU195">
        <v>2023</v>
      </c>
      <c r="AV195">
        <v>15</v>
      </c>
      <c r="AW195">
        <v>24</v>
      </c>
      <c r="AX195" t="s">
        <v>85</v>
      </c>
      <c r="AY195" t="s">
        <v>85</v>
      </c>
      <c r="AZ195" t="s">
        <v>85</v>
      </c>
      <c r="BA195" t="s">
        <v>85</v>
      </c>
      <c r="BB195" t="s">
        <v>85</v>
      </c>
      <c r="BC195" t="s">
        <v>85</v>
      </c>
      <c r="BD195">
        <v>16886</v>
      </c>
      <c r="BE195" t="s">
        <v>4208</v>
      </c>
      <c r="BF195" t="str">
        <f>HYPERLINK("http://dx.doi.org/10.3390/su152416886","http://dx.doi.org/10.3390/su152416886")</f>
        <v>http://dx.doi.org/10.3390/su152416886</v>
      </c>
      <c r="BG195" t="s">
        <v>85</v>
      </c>
      <c r="BH195" t="s">
        <v>85</v>
      </c>
      <c r="BI195" t="s">
        <v>85</v>
      </c>
      <c r="BJ195" t="s">
        <v>85</v>
      </c>
      <c r="BK195" t="s">
        <v>85</v>
      </c>
      <c r="BL195" t="s">
        <v>85</v>
      </c>
      <c r="BM195" t="s">
        <v>85</v>
      </c>
      <c r="BN195" t="s">
        <v>85</v>
      </c>
      <c r="BO195" t="s">
        <v>85</v>
      </c>
      <c r="BP195" t="s">
        <v>85</v>
      </c>
      <c r="BQ195" t="s">
        <v>85</v>
      </c>
      <c r="BR195" t="s">
        <v>85</v>
      </c>
      <c r="BS195" t="s">
        <v>4209</v>
      </c>
      <c r="BT195" t="str">
        <f>HYPERLINK("https%3A%2F%2Fwww.webofscience.com%2Fwos%2Fwoscc%2Ffull-record%2FWOS:001132633700001","View Full Record in Web of Science")</f>
        <v>View Full Record in Web of Science</v>
      </c>
      <c r="BW195"/>
      <c r="BX195"/>
      <c r="BY195"/>
      <c r="CA195"/>
      <c r="CB195"/>
    </row>
    <row r="196" spans="1:80">
      <c r="A196" t="s">
        <v>83</v>
      </c>
      <c r="B196" t="s">
        <v>4210</v>
      </c>
      <c r="C196" t="s">
        <v>85</v>
      </c>
      <c r="D196" t="s">
        <v>85</v>
      </c>
      <c r="E196" t="s">
        <v>85</v>
      </c>
      <c r="F196" t="s">
        <v>4211</v>
      </c>
      <c r="G196" t="s">
        <v>85</v>
      </c>
      <c r="H196" t="s">
        <v>85</v>
      </c>
      <c r="I196" t="s">
        <v>4212</v>
      </c>
      <c r="J196" t="s">
        <v>2174</v>
      </c>
      <c r="K196" t="s">
        <v>85</v>
      </c>
      <c r="L196" t="s">
        <v>85</v>
      </c>
      <c r="M196" t="s">
        <v>85</v>
      </c>
      <c r="N196" t="s">
        <v>85</v>
      </c>
      <c r="O196" t="s">
        <v>85</v>
      </c>
      <c r="P196" t="s">
        <v>85</v>
      </c>
      <c r="Q196" t="s">
        <v>85</v>
      </c>
      <c r="R196" t="s">
        <v>85</v>
      </c>
      <c r="S196" t="s">
        <v>85</v>
      </c>
      <c r="T196" t="s">
        <v>85</v>
      </c>
      <c r="U196" t="s">
        <v>85</v>
      </c>
      <c r="V196" t="s">
        <v>85</v>
      </c>
      <c r="W196" t="s">
        <v>85</v>
      </c>
      <c r="X196" t="s">
        <v>85</v>
      </c>
      <c r="Y196" t="s">
        <v>85</v>
      </c>
      <c r="Z196" t="s">
        <v>85</v>
      </c>
      <c r="AA196" t="s">
        <v>85</v>
      </c>
      <c r="AB196" t="s">
        <v>85</v>
      </c>
      <c r="AC196" t="s">
        <v>85</v>
      </c>
      <c r="AD196" t="s">
        <v>85</v>
      </c>
      <c r="AE196" t="s">
        <v>85</v>
      </c>
      <c r="AF196" t="s">
        <v>85</v>
      </c>
      <c r="AG196" t="s">
        <v>85</v>
      </c>
      <c r="AH196" t="s">
        <v>85</v>
      </c>
      <c r="AI196" t="s">
        <v>85</v>
      </c>
      <c r="AJ196" t="s">
        <v>85</v>
      </c>
      <c r="AK196" t="s">
        <v>85</v>
      </c>
      <c r="AL196" t="s">
        <v>85</v>
      </c>
      <c r="AM196" t="s">
        <v>85</v>
      </c>
      <c r="AN196" t="s">
        <v>85</v>
      </c>
      <c r="AO196" t="s">
        <v>2185</v>
      </c>
      <c r="AP196" t="s">
        <v>85</v>
      </c>
      <c r="AQ196" t="s">
        <v>85</v>
      </c>
      <c r="AR196" t="s">
        <v>85</v>
      </c>
      <c r="AS196" t="s">
        <v>85</v>
      </c>
      <c r="AT196" t="s">
        <v>568</v>
      </c>
      <c r="AU196">
        <v>2024</v>
      </c>
      <c r="AV196">
        <v>65</v>
      </c>
      <c r="AW196" t="s">
        <v>85</v>
      </c>
      <c r="AX196" t="s">
        <v>85</v>
      </c>
      <c r="AY196" t="s">
        <v>85</v>
      </c>
      <c r="AZ196" t="s">
        <v>85</v>
      </c>
      <c r="BA196" t="s">
        <v>85</v>
      </c>
      <c r="BB196" t="s">
        <v>85</v>
      </c>
      <c r="BC196" t="s">
        <v>85</v>
      </c>
      <c r="BD196">
        <v>101584</v>
      </c>
      <c r="BE196" t="s">
        <v>4213</v>
      </c>
      <c r="BF196" t="str">
        <f>HYPERLINK("http://dx.doi.org/10.1016/j.ecoser.2023.101584","http://dx.doi.org/10.1016/j.ecoser.2023.101584")</f>
        <v>http://dx.doi.org/10.1016/j.ecoser.2023.101584</v>
      </c>
      <c r="BG196" t="s">
        <v>85</v>
      </c>
      <c r="BH196" t="s">
        <v>4149</v>
      </c>
      <c r="BI196" t="s">
        <v>85</v>
      </c>
      <c r="BJ196" t="s">
        <v>85</v>
      </c>
      <c r="BK196" t="s">
        <v>85</v>
      </c>
      <c r="BL196" t="s">
        <v>85</v>
      </c>
      <c r="BM196" t="s">
        <v>85</v>
      </c>
      <c r="BN196" t="s">
        <v>85</v>
      </c>
      <c r="BO196" t="s">
        <v>85</v>
      </c>
      <c r="BP196" t="s">
        <v>85</v>
      </c>
      <c r="BQ196" t="s">
        <v>85</v>
      </c>
      <c r="BR196" t="s">
        <v>85</v>
      </c>
      <c r="BS196" t="s">
        <v>4214</v>
      </c>
      <c r="BT196" t="str">
        <f>HYPERLINK("https%3A%2F%2Fwww.webofscience.com%2Fwos%2Fwoscc%2Ffull-record%2FWOS:001138306000001","View Full Record in Web of Science")</f>
        <v>View Full Record in Web of Science</v>
      </c>
      <c r="BW196"/>
      <c r="BX196"/>
      <c r="BY196"/>
      <c r="CA196"/>
      <c r="CB196"/>
    </row>
    <row r="197" spans="1:80">
      <c r="A197" t="s">
        <v>83</v>
      </c>
      <c r="B197" t="s">
        <v>4215</v>
      </c>
      <c r="C197" t="s">
        <v>85</v>
      </c>
      <c r="D197" t="s">
        <v>85</v>
      </c>
      <c r="E197" t="s">
        <v>85</v>
      </c>
      <c r="F197" t="s">
        <v>4216</v>
      </c>
      <c r="G197" t="s">
        <v>85</v>
      </c>
      <c r="H197" t="s">
        <v>85</v>
      </c>
      <c r="I197" t="s">
        <v>4217</v>
      </c>
      <c r="J197" t="s">
        <v>312</v>
      </c>
      <c r="K197" t="s">
        <v>85</v>
      </c>
      <c r="L197" t="s">
        <v>85</v>
      </c>
      <c r="M197" t="s">
        <v>85</v>
      </c>
      <c r="N197" t="s">
        <v>85</v>
      </c>
      <c r="O197" t="s">
        <v>85</v>
      </c>
      <c r="P197" t="s">
        <v>85</v>
      </c>
      <c r="Q197" t="s">
        <v>85</v>
      </c>
      <c r="R197" t="s">
        <v>85</v>
      </c>
      <c r="S197" t="s">
        <v>85</v>
      </c>
      <c r="T197" t="s">
        <v>85</v>
      </c>
      <c r="U197" t="s">
        <v>85</v>
      </c>
      <c r="V197" t="s">
        <v>85</v>
      </c>
      <c r="W197" t="s">
        <v>85</v>
      </c>
      <c r="X197" t="s">
        <v>85</v>
      </c>
      <c r="Y197" t="s">
        <v>85</v>
      </c>
      <c r="Z197" t="s">
        <v>85</v>
      </c>
      <c r="AA197" t="s">
        <v>85</v>
      </c>
      <c r="AB197" t="s">
        <v>4218</v>
      </c>
      <c r="AC197" t="s">
        <v>85</v>
      </c>
      <c r="AD197" t="s">
        <v>85</v>
      </c>
      <c r="AE197" t="s">
        <v>85</v>
      </c>
      <c r="AF197" t="s">
        <v>85</v>
      </c>
      <c r="AG197" t="s">
        <v>85</v>
      </c>
      <c r="AH197" t="s">
        <v>85</v>
      </c>
      <c r="AI197" t="s">
        <v>85</v>
      </c>
      <c r="AJ197" t="s">
        <v>85</v>
      </c>
      <c r="AK197" t="s">
        <v>85</v>
      </c>
      <c r="AL197" t="s">
        <v>85</v>
      </c>
      <c r="AM197" t="s">
        <v>85</v>
      </c>
      <c r="AN197" t="s">
        <v>85</v>
      </c>
      <c r="AO197" t="s">
        <v>325</v>
      </c>
      <c r="AP197" t="s">
        <v>326</v>
      </c>
      <c r="AQ197" t="s">
        <v>85</v>
      </c>
      <c r="AR197" t="s">
        <v>85</v>
      </c>
      <c r="AS197" t="s">
        <v>85</v>
      </c>
      <c r="AT197" t="s">
        <v>714</v>
      </c>
      <c r="AU197">
        <v>2024</v>
      </c>
      <c r="AV197">
        <v>243</v>
      </c>
      <c r="AW197" t="s">
        <v>85</v>
      </c>
      <c r="AX197" t="s">
        <v>85</v>
      </c>
      <c r="AY197" t="s">
        <v>85</v>
      </c>
      <c r="AZ197" t="s">
        <v>85</v>
      </c>
      <c r="BA197" t="s">
        <v>85</v>
      </c>
      <c r="BB197" t="s">
        <v>85</v>
      </c>
      <c r="BC197" t="s">
        <v>85</v>
      </c>
      <c r="BD197">
        <v>104958</v>
      </c>
      <c r="BE197" t="s">
        <v>4219</v>
      </c>
      <c r="BF197" t="str">
        <f>HYPERLINK("http://dx.doi.org/10.1016/j.landurbplan.2023.104958","http://dx.doi.org/10.1016/j.landurbplan.2023.104958")</f>
        <v>http://dx.doi.org/10.1016/j.landurbplan.2023.104958</v>
      </c>
      <c r="BG197" t="s">
        <v>85</v>
      </c>
      <c r="BH197" t="s">
        <v>4220</v>
      </c>
      <c r="BI197" t="s">
        <v>85</v>
      </c>
      <c r="BJ197" t="s">
        <v>85</v>
      </c>
      <c r="BK197" t="s">
        <v>85</v>
      </c>
      <c r="BL197" t="s">
        <v>85</v>
      </c>
      <c r="BM197" t="s">
        <v>85</v>
      </c>
      <c r="BN197" t="s">
        <v>85</v>
      </c>
      <c r="BO197" t="s">
        <v>85</v>
      </c>
      <c r="BP197" t="s">
        <v>85</v>
      </c>
      <c r="BQ197" t="s">
        <v>85</v>
      </c>
      <c r="BR197" t="s">
        <v>85</v>
      </c>
      <c r="BS197" t="s">
        <v>4221</v>
      </c>
      <c r="BT197" t="str">
        <f>HYPERLINK("https%3A%2F%2Fwww.webofscience.com%2Fwos%2Fwoscc%2Ffull-record%2FWOS:001128154800001","View Full Record in Web of Science")</f>
        <v>View Full Record in Web of Science</v>
      </c>
      <c r="BW197"/>
      <c r="BX197"/>
      <c r="BY197"/>
      <c r="CA197"/>
      <c r="CB197"/>
    </row>
    <row r="198" spans="1:80">
      <c r="A198" t="s">
        <v>83</v>
      </c>
      <c r="B198" t="s">
        <v>4222</v>
      </c>
      <c r="C198" t="s">
        <v>85</v>
      </c>
      <c r="D198" t="s">
        <v>85</v>
      </c>
      <c r="E198" t="s">
        <v>85</v>
      </c>
      <c r="F198" t="s">
        <v>4223</v>
      </c>
      <c r="G198" t="s">
        <v>85</v>
      </c>
      <c r="H198" t="s">
        <v>85</v>
      </c>
      <c r="I198" t="s">
        <v>4224</v>
      </c>
      <c r="J198" t="s">
        <v>1490</v>
      </c>
      <c r="K198" t="s">
        <v>85</v>
      </c>
      <c r="L198" t="s">
        <v>85</v>
      </c>
      <c r="M198" t="s">
        <v>85</v>
      </c>
      <c r="N198" t="s">
        <v>85</v>
      </c>
      <c r="O198" t="s">
        <v>85</v>
      </c>
      <c r="P198" t="s">
        <v>85</v>
      </c>
      <c r="Q198" t="s">
        <v>85</v>
      </c>
      <c r="R198" t="s">
        <v>85</v>
      </c>
      <c r="S198" t="s">
        <v>85</v>
      </c>
      <c r="T198" t="s">
        <v>85</v>
      </c>
      <c r="U198" t="s">
        <v>85</v>
      </c>
      <c r="V198" t="s">
        <v>85</v>
      </c>
      <c r="W198" t="s">
        <v>85</v>
      </c>
      <c r="X198" t="s">
        <v>85</v>
      </c>
      <c r="Y198" t="s">
        <v>85</v>
      </c>
      <c r="Z198" t="s">
        <v>85</v>
      </c>
      <c r="AA198" t="s">
        <v>4225</v>
      </c>
      <c r="AB198" t="s">
        <v>4226</v>
      </c>
      <c r="AC198" t="s">
        <v>85</v>
      </c>
      <c r="AD198" t="s">
        <v>85</v>
      </c>
      <c r="AE198" t="s">
        <v>85</v>
      </c>
      <c r="AF198" t="s">
        <v>85</v>
      </c>
      <c r="AG198" t="s">
        <v>85</v>
      </c>
      <c r="AH198" t="s">
        <v>85</v>
      </c>
      <c r="AI198" t="s">
        <v>85</v>
      </c>
      <c r="AJ198" t="s">
        <v>85</v>
      </c>
      <c r="AK198" t="s">
        <v>85</v>
      </c>
      <c r="AL198" t="s">
        <v>85</v>
      </c>
      <c r="AM198" t="s">
        <v>85</v>
      </c>
      <c r="AN198" t="s">
        <v>85</v>
      </c>
      <c r="AO198" t="s">
        <v>1506</v>
      </c>
      <c r="AP198" t="s">
        <v>1507</v>
      </c>
      <c r="AQ198" t="s">
        <v>85</v>
      </c>
      <c r="AR198" t="s">
        <v>85</v>
      </c>
      <c r="AS198" t="s">
        <v>85</v>
      </c>
      <c r="AT198" t="s">
        <v>2921</v>
      </c>
      <c r="AU198">
        <v>2024</v>
      </c>
      <c r="AV198">
        <v>240</v>
      </c>
      <c r="AW198" t="s">
        <v>85</v>
      </c>
      <c r="AX198">
        <v>2</v>
      </c>
      <c r="AY198" t="s">
        <v>85</v>
      </c>
      <c r="AZ198" t="s">
        <v>85</v>
      </c>
      <c r="BA198" t="s">
        <v>85</v>
      </c>
      <c r="BB198" t="s">
        <v>85</v>
      </c>
      <c r="BC198" t="s">
        <v>85</v>
      </c>
      <c r="BD198">
        <v>117524</v>
      </c>
      <c r="BE198" t="s">
        <v>4227</v>
      </c>
      <c r="BF198" t="str">
        <f>HYPERLINK("http://dx.doi.org/10.1016/j.envres.2023.117524","http://dx.doi.org/10.1016/j.envres.2023.117524")</f>
        <v>http://dx.doi.org/10.1016/j.envres.2023.117524</v>
      </c>
      <c r="BG198" t="s">
        <v>85</v>
      </c>
      <c r="BH198" t="s">
        <v>4220</v>
      </c>
      <c r="BI198" t="s">
        <v>85</v>
      </c>
      <c r="BJ198" t="s">
        <v>85</v>
      </c>
      <c r="BK198" t="s">
        <v>85</v>
      </c>
      <c r="BL198" t="s">
        <v>85</v>
      </c>
      <c r="BM198" t="s">
        <v>85</v>
      </c>
      <c r="BN198">
        <v>37898226</v>
      </c>
      <c r="BO198" t="s">
        <v>85</v>
      </c>
      <c r="BP198" t="s">
        <v>85</v>
      </c>
      <c r="BQ198" t="s">
        <v>85</v>
      </c>
      <c r="BR198" t="s">
        <v>85</v>
      </c>
      <c r="BS198" t="s">
        <v>4228</v>
      </c>
      <c r="BT198" t="str">
        <f>HYPERLINK("https%3A%2F%2Fwww.webofscience.com%2Fwos%2Fwoscc%2Ffull-record%2FWOS:001110095300001","View Full Record in Web of Science")</f>
        <v>View Full Record in Web of Science</v>
      </c>
      <c r="BW198"/>
      <c r="BX198"/>
      <c r="BY198"/>
      <c r="CA198"/>
      <c r="CB198"/>
    </row>
    <row r="199" spans="1:80">
      <c r="A199" t="s">
        <v>83</v>
      </c>
      <c r="B199" t="s">
        <v>126</v>
      </c>
      <c r="C199" t="s">
        <v>85</v>
      </c>
      <c r="D199" t="s">
        <v>85</v>
      </c>
      <c r="E199" t="s">
        <v>85</v>
      </c>
      <c r="F199" t="s">
        <v>127</v>
      </c>
      <c r="G199" t="s">
        <v>85</v>
      </c>
      <c r="H199" t="s">
        <v>85</v>
      </c>
      <c r="I199" t="s">
        <v>128</v>
      </c>
      <c r="J199" t="s">
        <v>129</v>
      </c>
      <c r="K199" t="s">
        <v>85</v>
      </c>
      <c r="L199" t="s">
        <v>85</v>
      </c>
      <c r="M199" t="s">
        <v>85</v>
      </c>
      <c r="N199" t="s">
        <v>85</v>
      </c>
      <c r="O199" t="s">
        <v>85</v>
      </c>
      <c r="P199" t="s">
        <v>85</v>
      </c>
      <c r="Q199" t="s">
        <v>85</v>
      </c>
      <c r="R199" t="s">
        <v>85</v>
      </c>
      <c r="S199" t="s">
        <v>85</v>
      </c>
      <c r="T199" t="s">
        <v>85</v>
      </c>
      <c r="U199" t="s">
        <v>85</v>
      </c>
      <c r="V199" t="s">
        <v>85</v>
      </c>
      <c r="W199" t="s">
        <v>85</v>
      </c>
      <c r="X199" t="s">
        <v>85</v>
      </c>
      <c r="Y199" t="s">
        <v>85</v>
      </c>
      <c r="Z199" t="s">
        <v>85</v>
      </c>
      <c r="AA199" t="s">
        <v>85</v>
      </c>
      <c r="AB199" t="s">
        <v>85</v>
      </c>
      <c r="AC199" t="s">
        <v>85</v>
      </c>
      <c r="AD199" t="s">
        <v>85</v>
      </c>
      <c r="AE199" t="s">
        <v>85</v>
      </c>
      <c r="AF199" t="s">
        <v>85</v>
      </c>
      <c r="AG199" t="s">
        <v>85</v>
      </c>
      <c r="AH199" t="s">
        <v>85</v>
      </c>
      <c r="AI199" t="s">
        <v>85</v>
      </c>
      <c r="AJ199" t="s">
        <v>85</v>
      </c>
      <c r="AK199" t="s">
        <v>85</v>
      </c>
      <c r="AL199" t="s">
        <v>85</v>
      </c>
      <c r="AM199" t="s">
        <v>85</v>
      </c>
      <c r="AN199" t="s">
        <v>85</v>
      </c>
      <c r="AO199" t="s">
        <v>85</v>
      </c>
      <c r="AP199" t="s">
        <v>140</v>
      </c>
      <c r="AQ199" t="s">
        <v>85</v>
      </c>
      <c r="AR199" t="s">
        <v>85</v>
      </c>
      <c r="AS199" t="s">
        <v>85</v>
      </c>
      <c r="AT199" t="s">
        <v>143</v>
      </c>
      <c r="AU199">
        <v>2023</v>
      </c>
      <c r="AV199">
        <v>12</v>
      </c>
      <c r="AW199">
        <v>7</v>
      </c>
      <c r="AX199" t="s">
        <v>85</v>
      </c>
      <c r="AY199" t="s">
        <v>85</v>
      </c>
      <c r="AZ199" t="s">
        <v>85</v>
      </c>
      <c r="BA199" t="s">
        <v>85</v>
      </c>
      <c r="BB199" t="s">
        <v>85</v>
      </c>
      <c r="BC199" t="s">
        <v>85</v>
      </c>
      <c r="BD199">
        <v>1317</v>
      </c>
      <c r="BE199" t="s">
        <v>144</v>
      </c>
      <c r="BF199" t="str">
        <f>HYPERLINK("http://dx.doi.org/10.3390/land12071317","http://dx.doi.org/10.3390/land12071317")</f>
        <v>http://dx.doi.org/10.3390/land12071317</v>
      </c>
      <c r="BG199" t="s">
        <v>85</v>
      </c>
      <c r="BH199" t="s">
        <v>85</v>
      </c>
      <c r="BI199" t="s">
        <v>85</v>
      </c>
      <c r="BJ199" t="s">
        <v>85</v>
      </c>
      <c r="BK199" t="s">
        <v>85</v>
      </c>
      <c r="BL199" t="s">
        <v>85</v>
      </c>
      <c r="BM199" t="s">
        <v>85</v>
      </c>
      <c r="BN199" t="s">
        <v>85</v>
      </c>
      <c r="BO199" t="s">
        <v>85</v>
      </c>
      <c r="BP199" t="s">
        <v>85</v>
      </c>
      <c r="BQ199" t="s">
        <v>85</v>
      </c>
      <c r="BR199" t="s">
        <v>85</v>
      </c>
      <c r="BS199" t="s">
        <v>148</v>
      </c>
      <c r="BT199" t="str">
        <f>HYPERLINK("https%3A%2F%2Fwww.webofscience.com%2Fwos%2Fwoscc%2Ffull-record%2FWOS:001036289400001","View Full Record in Web of Science")</f>
        <v>View Full Record in Web of Science</v>
      </c>
      <c r="BW199"/>
      <c r="BX199"/>
      <c r="BY199"/>
      <c r="CA199"/>
      <c r="CB199"/>
    </row>
    <row r="200" spans="1:80">
      <c r="A200" t="s">
        <v>83</v>
      </c>
      <c r="B200" t="s">
        <v>4229</v>
      </c>
      <c r="C200" t="s">
        <v>85</v>
      </c>
      <c r="D200" t="s">
        <v>85</v>
      </c>
      <c r="E200" t="s">
        <v>85</v>
      </c>
      <c r="F200" t="s">
        <v>4230</v>
      </c>
      <c r="G200" t="s">
        <v>85</v>
      </c>
      <c r="H200" t="s">
        <v>85</v>
      </c>
      <c r="I200" t="s">
        <v>4231</v>
      </c>
      <c r="J200" t="s">
        <v>312</v>
      </c>
      <c r="K200" t="s">
        <v>85</v>
      </c>
      <c r="L200" t="s">
        <v>85</v>
      </c>
      <c r="M200" t="s">
        <v>85</v>
      </c>
      <c r="N200" t="s">
        <v>85</v>
      </c>
      <c r="O200" t="s">
        <v>85</v>
      </c>
      <c r="P200" t="s">
        <v>85</v>
      </c>
      <c r="Q200" t="s">
        <v>85</v>
      </c>
      <c r="R200" t="s">
        <v>85</v>
      </c>
      <c r="S200" t="s">
        <v>85</v>
      </c>
      <c r="T200" t="s">
        <v>85</v>
      </c>
      <c r="U200" t="s">
        <v>85</v>
      </c>
      <c r="V200" t="s">
        <v>85</v>
      </c>
      <c r="W200" t="s">
        <v>85</v>
      </c>
      <c r="X200" t="s">
        <v>85</v>
      </c>
      <c r="Y200" t="s">
        <v>85</v>
      </c>
      <c r="Z200" t="s">
        <v>85</v>
      </c>
      <c r="AA200" t="s">
        <v>85</v>
      </c>
      <c r="AB200" t="s">
        <v>4232</v>
      </c>
      <c r="AC200" t="s">
        <v>85</v>
      </c>
      <c r="AD200" t="s">
        <v>85</v>
      </c>
      <c r="AE200" t="s">
        <v>85</v>
      </c>
      <c r="AF200" t="s">
        <v>85</v>
      </c>
      <c r="AG200" t="s">
        <v>85</v>
      </c>
      <c r="AH200" t="s">
        <v>85</v>
      </c>
      <c r="AI200" t="s">
        <v>85</v>
      </c>
      <c r="AJ200" t="s">
        <v>85</v>
      </c>
      <c r="AK200" t="s">
        <v>85</v>
      </c>
      <c r="AL200" t="s">
        <v>85</v>
      </c>
      <c r="AM200" t="s">
        <v>85</v>
      </c>
      <c r="AN200" t="s">
        <v>85</v>
      </c>
      <c r="AO200" t="s">
        <v>325</v>
      </c>
      <c r="AP200" t="s">
        <v>326</v>
      </c>
      <c r="AQ200" t="s">
        <v>85</v>
      </c>
      <c r="AR200" t="s">
        <v>85</v>
      </c>
      <c r="AS200" t="s">
        <v>85</v>
      </c>
      <c r="AT200" t="s">
        <v>568</v>
      </c>
      <c r="AU200">
        <v>2024</v>
      </c>
      <c r="AV200">
        <v>242</v>
      </c>
      <c r="AW200" t="s">
        <v>85</v>
      </c>
      <c r="AX200" t="s">
        <v>85</v>
      </c>
      <c r="AY200" t="s">
        <v>85</v>
      </c>
      <c r="AZ200" t="s">
        <v>85</v>
      </c>
      <c r="BA200" t="s">
        <v>85</v>
      </c>
      <c r="BB200" t="s">
        <v>85</v>
      </c>
      <c r="BC200" t="s">
        <v>85</v>
      </c>
      <c r="BD200">
        <v>104934</v>
      </c>
      <c r="BE200" t="s">
        <v>4233</v>
      </c>
      <c r="BF200" t="str">
        <f>HYPERLINK("http://dx.doi.org/10.1016/j.landurbplan.2023.104934","http://dx.doi.org/10.1016/j.landurbplan.2023.104934")</f>
        <v>http://dx.doi.org/10.1016/j.landurbplan.2023.104934</v>
      </c>
      <c r="BG200" t="s">
        <v>85</v>
      </c>
      <c r="BH200" t="s">
        <v>4234</v>
      </c>
      <c r="BI200" t="s">
        <v>85</v>
      </c>
      <c r="BJ200" t="s">
        <v>85</v>
      </c>
      <c r="BK200" t="s">
        <v>85</v>
      </c>
      <c r="BL200" t="s">
        <v>85</v>
      </c>
      <c r="BM200" t="s">
        <v>85</v>
      </c>
      <c r="BN200" t="s">
        <v>85</v>
      </c>
      <c r="BO200" t="s">
        <v>85</v>
      </c>
      <c r="BP200" t="s">
        <v>85</v>
      </c>
      <c r="BQ200" t="s">
        <v>85</v>
      </c>
      <c r="BR200" t="s">
        <v>85</v>
      </c>
      <c r="BS200" t="s">
        <v>4235</v>
      </c>
      <c r="BT200" t="str">
        <f>HYPERLINK("https%3A%2F%2Fwww.webofscience.com%2Fwos%2Fwoscc%2Ffull-record%2FWOS:001110508700001","View Full Record in Web of Science")</f>
        <v>View Full Record in Web of Science</v>
      </c>
      <c r="BW200"/>
      <c r="BX200"/>
      <c r="BY200"/>
      <c r="CA200"/>
      <c r="CB200"/>
    </row>
    <row r="201" spans="1:80">
      <c r="A201" t="s">
        <v>83</v>
      </c>
      <c r="B201" t="s">
        <v>4236</v>
      </c>
      <c r="C201" t="s">
        <v>85</v>
      </c>
      <c r="D201" t="s">
        <v>85</v>
      </c>
      <c r="E201" t="s">
        <v>85</v>
      </c>
      <c r="F201" t="s">
        <v>4237</v>
      </c>
      <c r="G201" t="s">
        <v>85</v>
      </c>
      <c r="H201" t="s">
        <v>85</v>
      </c>
      <c r="I201" t="s">
        <v>4238</v>
      </c>
      <c r="J201" t="s">
        <v>4239</v>
      </c>
      <c r="K201" t="s">
        <v>85</v>
      </c>
      <c r="L201" t="s">
        <v>85</v>
      </c>
      <c r="M201" t="s">
        <v>85</v>
      </c>
      <c r="N201" t="s">
        <v>85</v>
      </c>
      <c r="O201" t="s">
        <v>85</v>
      </c>
      <c r="P201" t="s">
        <v>85</v>
      </c>
      <c r="Q201" t="s">
        <v>85</v>
      </c>
      <c r="R201" t="s">
        <v>85</v>
      </c>
      <c r="S201" t="s">
        <v>85</v>
      </c>
      <c r="T201" t="s">
        <v>85</v>
      </c>
      <c r="U201" t="s">
        <v>85</v>
      </c>
      <c r="V201" t="s">
        <v>85</v>
      </c>
      <c r="W201" t="s">
        <v>85</v>
      </c>
      <c r="X201" t="s">
        <v>85</v>
      </c>
      <c r="Y201" t="s">
        <v>85</v>
      </c>
      <c r="Z201" t="s">
        <v>85</v>
      </c>
      <c r="AA201" t="s">
        <v>4240</v>
      </c>
      <c r="AB201" t="s">
        <v>4241</v>
      </c>
      <c r="AC201" t="s">
        <v>85</v>
      </c>
      <c r="AD201" t="s">
        <v>85</v>
      </c>
      <c r="AE201" t="s">
        <v>85</v>
      </c>
      <c r="AF201" t="s">
        <v>85</v>
      </c>
      <c r="AG201" t="s">
        <v>85</v>
      </c>
      <c r="AH201" t="s">
        <v>85</v>
      </c>
      <c r="AI201" t="s">
        <v>85</v>
      </c>
      <c r="AJ201" t="s">
        <v>85</v>
      </c>
      <c r="AK201" t="s">
        <v>85</v>
      </c>
      <c r="AL201" t="s">
        <v>85</v>
      </c>
      <c r="AM201" t="s">
        <v>85</v>
      </c>
      <c r="AN201" t="s">
        <v>85</v>
      </c>
      <c r="AO201" t="s">
        <v>4242</v>
      </c>
      <c r="AP201" t="s">
        <v>4243</v>
      </c>
      <c r="AQ201" t="s">
        <v>85</v>
      </c>
      <c r="AR201" t="s">
        <v>85</v>
      </c>
      <c r="AS201" t="s">
        <v>85</v>
      </c>
      <c r="AT201" t="s">
        <v>941</v>
      </c>
      <c r="AU201">
        <v>2023</v>
      </c>
      <c r="AV201">
        <v>245</v>
      </c>
      <c r="AW201" t="s">
        <v>85</v>
      </c>
      <c r="AX201" t="s">
        <v>85</v>
      </c>
      <c r="AY201" t="s">
        <v>85</v>
      </c>
      <c r="AZ201" t="s">
        <v>85</v>
      </c>
      <c r="BA201" t="s">
        <v>85</v>
      </c>
      <c r="BB201" t="s">
        <v>85</v>
      </c>
      <c r="BC201" t="s">
        <v>85</v>
      </c>
      <c r="BD201">
        <v>110961</v>
      </c>
      <c r="BE201" t="s">
        <v>4244</v>
      </c>
      <c r="BF201" t="str">
        <f>HYPERLINK("http://dx.doi.org/10.1016/j.buildenv.2023.110961","http://dx.doi.org/10.1016/j.buildenv.2023.110961")</f>
        <v>http://dx.doi.org/10.1016/j.buildenv.2023.110961</v>
      </c>
      <c r="BG201" t="s">
        <v>85</v>
      </c>
      <c r="BH201" t="s">
        <v>4234</v>
      </c>
      <c r="BI201" t="s">
        <v>85</v>
      </c>
      <c r="BJ201" t="s">
        <v>85</v>
      </c>
      <c r="BK201" t="s">
        <v>85</v>
      </c>
      <c r="BL201" t="s">
        <v>85</v>
      </c>
      <c r="BM201" t="s">
        <v>85</v>
      </c>
      <c r="BN201" t="s">
        <v>85</v>
      </c>
      <c r="BO201" t="s">
        <v>85</v>
      </c>
      <c r="BP201" t="s">
        <v>85</v>
      </c>
      <c r="BQ201" t="s">
        <v>85</v>
      </c>
      <c r="BR201" t="s">
        <v>85</v>
      </c>
      <c r="BS201" t="s">
        <v>4245</v>
      </c>
      <c r="BT201" t="str">
        <f>HYPERLINK("https%3A%2F%2Fwww.webofscience.com%2Fwos%2Fwoscc%2Ffull-record%2FWOS:001107016500001","View Full Record in Web of Science")</f>
        <v>View Full Record in Web of Science</v>
      </c>
      <c r="BW201"/>
      <c r="BX201"/>
      <c r="BY201"/>
      <c r="CA201"/>
      <c r="CB201"/>
    </row>
    <row r="202" spans="1:80">
      <c r="A202" t="s">
        <v>83</v>
      </c>
      <c r="B202" t="s">
        <v>4246</v>
      </c>
      <c r="C202" t="s">
        <v>85</v>
      </c>
      <c r="D202" t="s">
        <v>85</v>
      </c>
      <c r="E202" t="s">
        <v>85</v>
      </c>
      <c r="F202" t="s">
        <v>4247</v>
      </c>
      <c r="G202" t="s">
        <v>85</v>
      </c>
      <c r="H202" t="s">
        <v>85</v>
      </c>
      <c r="I202" t="s">
        <v>4248</v>
      </c>
      <c r="J202" t="s">
        <v>181</v>
      </c>
      <c r="K202" t="s">
        <v>85</v>
      </c>
      <c r="L202" t="s">
        <v>85</v>
      </c>
      <c r="M202" t="s">
        <v>85</v>
      </c>
      <c r="N202" t="s">
        <v>85</v>
      </c>
      <c r="O202" t="s">
        <v>85</v>
      </c>
      <c r="P202" t="s">
        <v>85</v>
      </c>
      <c r="Q202" t="s">
        <v>85</v>
      </c>
      <c r="R202" t="s">
        <v>85</v>
      </c>
      <c r="S202" t="s">
        <v>85</v>
      </c>
      <c r="T202" t="s">
        <v>85</v>
      </c>
      <c r="U202" t="s">
        <v>85</v>
      </c>
      <c r="V202" t="s">
        <v>85</v>
      </c>
      <c r="W202" t="s">
        <v>85</v>
      </c>
      <c r="X202" t="s">
        <v>85</v>
      </c>
      <c r="Y202" t="s">
        <v>85</v>
      </c>
      <c r="Z202" t="s">
        <v>85</v>
      </c>
      <c r="AA202" t="s">
        <v>4249</v>
      </c>
      <c r="AB202" t="s">
        <v>4250</v>
      </c>
      <c r="AC202" t="s">
        <v>85</v>
      </c>
      <c r="AD202" t="s">
        <v>85</v>
      </c>
      <c r="AE202" t="s">
        <v>85</v>
      </c>
      <c r="AF202" t="s">
        <v>85</v>
      </c>
      <c r="AG202" t="s">
        <v>85</v>
      </c>
      <c r="AH202" t="s">
        <v>85</v>
      </c>
      <c r="AI202" t="s">
        <v>85</v>
      </c>
      <c r="AJ202" t="s">
        <v>85</v>
      </c>
      <c r="AK202" t="s">
        <v>85</v>
      </c>
      <c r="AL202" t="s">
        <v>85</v>
      </c>
      <c r="AM202" t="s">
        <v>85</v>
      </c>
      <c r="AN202" t="s">
        <v>85</v>
      </c>
      <c r="AO202" t="s">
        <v>196</v>
      </c>
      <c r="AP202" t="s">
        <v>197</v>
      </c>
      <c r="AQ202" t="s">
        <v>85</v>
      </c>
      <c r="AR202" t="s">
        <v>85</v>
      </c>
      <c r="AS202" t="s">
        <v>85</v>
      </c>
      <c r="AT202" t="s">
        <v>200</v>
      </c>
      <c r="AU202">
        <v>2023</v>
      </c>
      <c r="AV202">
        <v>154</v>
      </c>
      <c r="AW202" t="s">
        <v>85</v>
      </c>
      <c r="AX202" t="s">
        <v>85</v>
      </c>
      <c r="AY202" t="s">
        <v>85</v>
      </c>
      <c r="AZ202" t="s">
        <v>85</v>
      </c>
      <c r="BA202" t="s">
        <v>85</v>
      </c>
      <c r="BB202" t="s">
        <v>85</v>
      </c>
      <c r="BC202" t="s">
        <v>85</v>
      </c>
      <c r="BD202">
        <v>110878</v>
      </c>
      <c r="BE202" t="s">
        <v>4251</v>
      </c>
      <c r="BF202" t="str">
        <f>HYPERLINK("http://dx.doi.org/10.1016/j.ecolind.2023.110878","http://dx.doi.org/10.1016/j.ecolind.2023.110878")</f>
        <v>http://dx.doi.org/10.1016/j.ecolind.2023.110878</v>
      </c>
      <c r="BG202" t="s">
        <v>85</v>
      </c>
      <c r="BH202" t="s">
        <v>4157</v>
      </c>
      <c r="BI202" t="s">
        <v>85</v>
      </c>
      <c r="BJ202" t="s">
        <v>85</v>
      </c>
      <c r="BK202" t="s">
        <v>85</v>
      </c>
      <c r="BL202" t="s">
        <v>85</v>
      </c>
      <c r="BM202" t="s">
        <v>85</v>
      </c>
      <c r="BN202" t="s">
        <v>85</v>
      </c>
      <c r="BO202" t="s">
        <v>85</v>
      </c>
      <c r="BP202" t="s">
        <v>85</v>
      </c>
      <c r="BQ202" t="s">
        <v>85</v>
      </c>
      <c r="BR202" t="s">
        <v>85</v>
      </c>
      <c r="BS202" t="s">
        <v>4252</v>
      </c>
      <c r="BT202" t="str">
        <f>HYPERLINK("https%3A%2F%2Fwww.webofscience.com%2Fwos%2Fwoscc%2Ffull-record%2FWOS:001071340600001","View Full Record in Web of Science")</f>
        <v>View Full Record in Web of Science</v>
      </c>
      <c r="BW202"/>
      <c r="BX202"/>
      <c r="BY202"/>
      <c r="CA202"/>
      <c r="CB202"/>
    </row>
    <row r="203" spans="1:80">
      <c r="A203" t="s">
        <v>83</v>
      </c>
      <c r="B203" t="s">
        <v>4253</v>
      </c>
      <c r="C203" t="s">
        <v>85</v>
      </c>
      <c r="D203" t="s">
        <v>85</v>
      </c>
      <c r="E203" t="s">
        <v>85</v>
      </c>
      <c r="F203" t="s">
        <v>213</v>
      </c>
      <c r="G203" t="s">
        <v>85</v>
      </c>
      <c r="H203" t="s">
        <v>85</v>
      </c>
      <c r="I203" t="s">
        <v>214</v>
      </c>
      <c r="J203" t="s">
        <v>215</v>
      </c>
      <c r="K203" t="s">
        <v>85</v>
      </c>
      <c r="L203" t="s">
        <v>85</v>
      </c>
      <c r="M203" t="s">
        <v>85</v>
      </c>
      <c r="N203" t="s">
        <v>85</v>
      </c>
      <c r="O203" t="s">
        <v>85</v>
      </c>
      <c r="P203" t="s">
        <v>85</v>
      </c>
      <c r="Q203" t="s">
        <v>85</v>
      </c>
      <c r="R203" t="s">
        <v>85</v>
      </c>
      <c r="S203" t="s">
        <v>85</v>
      </c>
      <c r="T203" t="s">
        <v>85</v>
      </c>
      <c r="U203" t="s">
        <v>85</v>
      </c>
      <c r="V203" t="s">
        <v>85</v>
      </c>
      <c r="W203" t="s">
        <v>85</v>
      </c>
      <c r="X203" t="s">
        <v>85</v>
      </c>
      <c r="Y203" t="s">
        <v>85</v>
      </c>
      <c r="Z203" t="s">
        <v>85</v>
      </c>
      <c r="AA203" t="s">
        <v>223</v>
      </c>
      <c r="AB203" t="s">
        <v>224</v>
      </c>
      <c r="AC203" t="s">
        <v>85</v>
      </c>
      <c r="AD203" t="s">
        <v>85</v>
      </c>
      <c r="AE203" t="s">
        <v>85</v>
      </c>
      <c r="AF203" t="s">
        <v>85</v>
      </c>
      <c r="AG203" t="s">
        <v>85</v>
      </c>
      <c r="AH203" t="s">
        <v>85</v>
      </c>
      <c r="AI203" t="s">
        <v>85</v>
      </c>
      <c r="AJ203" t="s">
        <v>85</v>
      </c>
      <c r="AK203" t="s">
        <v>85</v>
      </c>
      <c r="AL203" t="s">
        <v>85</v>
      </c>
      <c r="AM203" t="s">
        <v>85</v>
      </c>
      <c r="AN203" t="s">
        <v>85</v>
      </c>
      <c r="AO203" t="s">
        <v>228</v>
      </c>
      <c r="AP203" t="s">
        <v>85</v>
      </c>
      <c r="AQ203" t="s">
        <v>85</v>
      </c>
      <c r="AR203" t="s">
        <v>85</v>
      </c>
      <c r="AS203" t="s">
        <v>85</v>
      </c>
      <c r="AT203" t="s">
        <v>231</v>
      </c>
      <c r="AU203">
        <v>2023</v>
      </c>
      <c r="AV203">
        <v>14</v>
      </c>
      <c r="AW203" t="s">
        <v>85</v>
      </c>
      <c r="AX203" t="s">
        <v>85</v>
      </c>
      <c r="AY203" t="s">
        <v>85</v>
      </c>
      <c r="AZ203" t="s">
        <v>85</v>
      </c>
      <c r="BA203" t="s">
        <v>85</v>
      </c>
      <c r="BB203" t="s">
        <v>85</v>
      </c>
      <c r="BC203" t="s">
        <v>85</v>
      </c>
      <c r="BD203">
        <v>1176202</v>
      </c>
      <c r="BE203" t="s">
        <v>232</v>
      </c>
      <c r="BF203" t="str">
        <f>HYPERLINK("http://dx.doi.org/10.3389/fpsyg.2023.1176202","http://dx.doi.org/10.3389/fpsyg.2023.1176202")</f>
        <v>http://dx.doi.org/10.3389/fpsyg.2023.1176202</v>
      </c>
      <c r="BG203" t="s">
        <v>85</v>
      </c>
      <c r="BH203" t="s">
        <v>85</v>
      </c>
      <c r="BI203" t="s">
        <v>85</v>
      </c>
      <c r="BJ203" t="s">
        <v>85</v>
      </c>
      <c r="BK203" t="s">
        <v>85</v>
      </c>
      <c r="BL203" t="s">
        <v>85</v>
      </c>
      <c r="BM203" t="s">
        <v>85</v>
      </c>
      <c r="BN203">
        <v>37342642</v>
      </c>
      <c r="BO203" t="s">
        <v>85</v>
      </c>
      <c r="BP203" t="s">
        <v>85</v>
      </c>
      <c r="BQ203" t="s">
        <v>85</v>
      </c>
      <c r="BR203" t="s">
        <v>85</v>
      </c>
      <c r="BS203" t="s">
        <v>237</v>
      </c>
      <c r="BT203" t="str">
        <f>HYPERLINK("https%3A%2F%2Fwww.webofscience.com%2Fwos%2Fwoscc%2Ffull-record%2FWOS:001008081000001","View Full Record in Web of Science")</f>
        <v>View Full Record in Web of Science</v>
      </c>
      <c r="BW203"/>
      <c r="BX203"/>
      <c r="BY203"/>
      <c r="CA203"/>
      <c r="CB203"/>
    </row>
    <row r="204" spans="1:80">
      <c r="A204" t="s">
        <v>83</v>
      </c>
      <c r="B204" t="s">
        <v>576</v>
      </c>
      <c r="C204" t="s">
        <v>85</v>
      </c>
      <c r="D204" t="s">
        <v>85</v>
      </c>
      <c r="E204" t="s">
        <v>85</v>
      </c>
      <c r="F204" t="s">
        <v>577</v>
      </c>
      <c r="G204" t="s">
        <v>85</v>
      </c>
      <c r="H204" t="s">
        <v>85</v>
      </c>
      <c r="I204" t="s">
        <v>578</v>
      </c>
      <c r="J204" t="s">
        <v>579</v>
      </c>
      <c r="K204" t="s">
        <v>85</v>
      </c>
      <c r="L204" t="s">
        <v>85</v>
      </c>
      <c r="M204" t="s">
        <v>85</v>
      </c>
      <c r="N204" t="s">
        <v>85</v>
      </c>
      <c r="O204" t="s">
        <v>85</v>
      </c>
      <c r="P204" t="s">
        <v>85</v>
      </c>
      <c r="Q204" t="s">
        <v>85</v>
      </c>
      <c r="R204" t="s">
        <v>85</v>
      </c>
      <c r="S204" t="s">
        <v>85</v>
      </c>
      <c r="T204" t="s">
        <v>85</v>
      </c>
      <c r="U204" t="s">
        <v>85</v>
      </c>
      <c r="V204" t="s">
        <v>85</v>
      </c>
      <c r="W204" t="s">
        <v>85</v>
      </c>
      <c r="X204" t="s">
        <v>85</v>
      </c>
      <c r="Y204" t="s">
        <v>85</v>
      </c>
      <c r="Z204" t="s">
        <v>85</v>
      </c>
      <c r="AA204" t="s">
        <v>4254</v>
      </c>
      <c r="AB204" t="s">
        <v>85</v>
      </c>
      <c r="AC204" t="s">
        <v>85</v>
      </c>
      <c r="AD204" t="s">
        <v>85</v>
      </c>
      <c r="AE204" t="s">
        <v>85</v>
      </c>
      <c r="AF204" t="s">
        <v>85</v>
      </c>
      <c r="AG204" t="s">
        <v>85</v>
      </c>
      <c r="AH204" t="s">
        <v>85</v>
      </c>
      <c r="AI204" t="s">
        <v>85</v>
      </c>
      <c r="AJ204" t="s">
        <v>85</v>
      </c>
      <c r="AK204" t="s">
        <v>85</v>
      </c>
      <c r="AL204" t="s">
        <v>85</v>
      </c>
      <c r="AM204" t="s">
        <v>85</v>
      </c>
      <c r="AN204" t="s">
        <v>85</v>
      </c>
      <c r="AO204" t="s">
        <v>85</v>
      </c>
      <c r="AP204" t="s">
        <v>587</v>
      </c>
      <c r="AQ204" t="s">
        <v>85</v>
      </c>
      <c r="AR204" t="s">
        <v>85</v>
      </c>
      <c r="AS204" t="s">
        <v>85</v>
      </c>
      <c r="AT204" t="s">
        <v>568</v>
      </c>
      <c r="AU204">
        <v>2023</v>
      </c>
      <c r="AV204">
        <v>14</v>
      </c>
      <c r="AW204">
        <v>2</v>
      </c>
      <c r="AX204" t="s">
        <v>85</v>
      </c>
      <c r="AY204" t="s">
        <v>85</v>
      </c>
      <c r="AZ204" t="s">
        <v>85</v>
      </c>
      <c r="BA204" t="s">
        <v>85</v>
      </c>
      <c r="BB204" t="s">
        <v>85</v>
      </c>
      <c r="BC204" t="s">
        <v>85</v>
      </c>
      <c r="BD204">
        <v>186</v>
      </c>
      <c r="BE204" t="s">
        <v>589</v>
      </c>
      <c r="BF204" t="str">
        <f>HYPERLINK("http://dx.doi.org/10.3390/f14020186","http://dx.doi.org/10.3390/f14020186")</f>
        <v>http://dx.doi.org/10.3390/f14020186</v>
      </c>
      <c r="BG204" t="s">
        <v>85</v>
      </c>
      <c r="BH204" t="s">
        <v>85</v>
      </c>
      <c r="BI204" t="s">
        <v>85</v>
      </c>
      <c r="BJ204" t="s">
        <v>85</v>
      </c>
      <c r="BK204" t="s">
        <v>85</v>
      </c>
      <c r="BL204" t="s">
        <v>85</v>
      </c>
      <c r="BM204" t="s">
        <v>85</v>
      </c>
      <c r="BN204" t="s">
        <v>85</v>
      </c>
      <c r="BO204" t="s">
        <v>85</v>
      </c>
      <c r="BP204" t="s">
        <v>85</v>
      </c>
      <c r="BQ204" t="s">
        <v>85</v>
      </c>
      <c r="BR204" t="s">
        <v>85</v>
      </c>
      <c r="BS204" t="s">
        <v>592</v>
      </c>
      <c r="BT204" t="str">
        <f>HYPERLINK("https%3A%2F%2Fwww.webofscience.com%2Fwos%2Fwoscc%2Ffull-record%2FWOS:000939166200001","View Full Record in Web of Science")</f>
        <v>View Full Record in Web of Science</v>
      </c>
      <c r="BW204"/>
      <c r="BX204"/>
      <c r="BY204"/>
      <c r="CA204"/>
      <c r="CB20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MORGAN</dc:creator>
  <cp:keywords/>
  <dc:description/>
  <cp:lastModifiedBy>MATTHEW MORGAN</cp:lastModifiedBy>
  <cp:revision/>
  <dcterms:created xsi:type="dcterms:W3CDTF">2015-06-05T18:17:20Z</dcterms:created>
  <dcterms:modified xsi:type="dcterms:W3CDTF">2024-08-27T20:22:56Z</dcterms:modified>
  <cp:category/>
  <cp:contentStatus/>
</cp:coreProperties>
</file>